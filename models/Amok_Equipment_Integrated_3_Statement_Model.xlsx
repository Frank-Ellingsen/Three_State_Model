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_and_Summary" sheetId="1" state="visible" r:id="rId1"/>
    <sheet xmlns:r="http://schemas.openxmlformats.org/officeDocument/2006/relationships" name="Assumptions_and_Inputs" sheetId="2" state="visible" r:id="rId2"/>
    <sheet xmlns:r="http://schemas.openxmlformats.org/officeDocument/2006/relationships" name="Financial_Statements" sheetId="3" state="visible" r:id="rId3"/>
    <sheet xmlns:r="http://schemas.openxmlformats.org/officeDocument/2006/relationships" name="Supporting_Schedules" sheetId="4" state="visible" r:id="rId4"/>
    <sheet xmlns:r="http://schemas.openxmlformats.org/officeDocument/2006/relationships" name="Scenario_Analysis" sheetId="5" state="visible" r:id="rId5"/>
    <sheet xmlns:r="http://schemas.openxmlformats.org/officeDocument/2006/relationships" name="Sensitivity_Analysis" sheetId="6" state="visible" r:id="rId6"/>
    <sheet xmlns:r="http://schemas.openxmlformats.org/officeDocument/2006/relationships" name="Model_Checks" sheetId="7" state="visible" r:id="rId7"/>
    <sheet xmlns:r="http://schemas.openxmlformats.org/officeDocument/2006/relationships" name="Historical_Data" sheetId="8" state="visible" r:id="rId8"/>
  </sheets>
  <definedNames>
    <definedName name="ScenarioList">'Assumptions_and_Inputs'!$B$5:$E$5</definedName>
    <definedName name="_xlnm.Print_Titles" localSheetId="0">'TOC_and_Summary'!$1:$5</definedName>
    <definedName name="_xlnm.Print_Area" localSheetId="0">'TOC_and_Summary'!$A$1:$I$55</definedName>
    <definedName name="_xlnm.Print_Titles" localSheetId="1">'Assumptions_and_Inputs'!$1:$5</definedName>
    <definedName name="_xlnm.Print_Area" localSheetId="1">'Assumptions_and_Inputs'!$A$1:$F$28</definedName>
    <definedName name="_xlnm.Print_Titles" localSheetId="2">'Financial_Statements'!$1:$5</definedName>
    <definedName name="_xlnm.Print_Area" localSheetId="2">'Financial_Statements'!$A$1:$I$59</definedName>
    <definedName name="_xlnm.Print_Titles" localSheetId="3">'Supporting_Schedules'!$1:$5</definedName>
    <definedName name="_xlnm.Print_Area" localSheetId="3">'Supporting_Schedules'!$A$1:$I$32</definedName>
    <definedName name="_xlnm.Print_Titles" localSheetId="4">'Scenario_Analysis'!$1:$5</definedName>
    <definedName name="_xlnm.Print_Area" localSheetId="4">'Scenario_Analysis'!$A$1:$F$132</definedName>
    <definedName name="_xlnm.Print_Titles" localSheetId="5">'Sensitivity_Analysis'!$1:$5</definedName>
    <definedName name="_xlnm.Print_Area" localSheetId="5">'Sensitivity_Analysis'!$A$1:$H$23</definedName>
    <definedName name="_xlnm.Print_Titles" localSheetId="6">'Model_Checks'!$1:$5</definedName>
    <definedName name="_xlnm.Print_Area" localSheetId="6">'Model_Checks'!$A$1:$K$17</definedName>
    <definedName name="_xlnm.Print_Titles" localSheetId="7">'Historical_Data'!$1:$5</definedName>
    <definedName name="_xlnm.Print_Area" localSheetId="7">'Historical_Data'!$A$1:$E$38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0.0%;[Red](0.0%);-"/>
    <numFmt numFmtId="166" formatCode="0.0"/>
    <numFmt numFmtId="167" formatCode="0.0x"/>
  </numFmts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006100"/>
    </font>
    <font>
      <i val="1"/>
      <color rgb="00666666"/>
      <sz val="9"/>
    </font>
    <font>
      <b val="1"/>
      <color rgb="00FFFFFF"/>
    </font>
    <font>
      <color rgb="000000FF"/>
    </font>
    <font>
      <color rgb="000080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EFDA"/>
      </patternFill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left"/>
    </xf>
    <xf numFmtId="0" fontId="3" fillId="0" borderId="0" pivotButton="0" quotePrefix="0" xfId="0"/>
    <xf numFmtId="0" fontId="6" fillId="0" borderId="0" pivotButton="0" quotePrefix="0" xfId="0"/>
    <xf numFmtId="0" fontId="4" fillId="6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 wrapText="1"/>
    </xf>
    <xf numFmtId="0" fontId="5" fillId="5" borderId="0" pivotButton="0" quotePrefix="0" xfId="0"/>
    <xf numFmtId="0" fontId="4" fillId="4" borderId="0" applyAlignment="1" pivotButton="0" quotePrefix="0" xfId="0">
      <alignment horizontal="center" vertical="center" wrapText="1"/>
    </xf>
    <xf numFmtId="165" fontId="5" fillId="5" borderId="0" applyAlignment="1" pivotButton="0" quotePrefix="0" xfId="0">
      <alignment vertical="center"/>
    </xf>
    <xf numFmtId="166" fontId="5" fillId="5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4" fillId="4" borderId="0" pivotButton="0" quotePrefix="0" xfId="0"/>
    <xf numFmtId="1" fontId="4" fillId="4" borderId="0" applyAlignment="1" pivotButton="0" quotePrefix="0" xfId="0">
      <alignment horizontal="center"/>
    </xf>
    <xf numFmtId="1" fontId="4" fillId="6" borderId="0" applyAlignment="1" pivotButton="0" quotePrefix="0" xfId="0">
      <alignment horizontal="center"/>
    </xf>
    <xf numFmtId="0" fontId="4" fillId="6" borderId="0" pivotButton="0" quotePrefix="0" xfId="0"/>
    <xf numFmtId="164" fontId="6" fillId="0" borderId="0" pivotButton="0" quotePrefix="0" xfId="0"/>
    <xf numFmtId="165" fontId="5" fillId="5" borderId="0" pivotButton="0" quotePrefix="0" xfId="0"/>
    <xf numFmtId="165" fontId="4" fillId="4" borderId="0" applyAlignment="1" pivotButton="0" quotePrefix="0" xfId="0">
      <alignment vertical="center" wrapText="1"/>
    </xf>
    <xf numFmtId="167" fontId="6" fillId="0" borderId="0" applyAlignment="1" pivotButton="0" quotePrefix="0" xfId="0">
      <alignment vertical="center"/>
    </xf>
    <xf numFmtId="164" fontId="5" fillId="5" borderId="0" pivotButton="0" quotePrefix="0" xfId="0"/>
  </cellXfs>
  <cellStyles count="2">
    <cellStyle name="Normal" xfId="0" builtinId="0" hidden="0"/>
    <cellStyle name="Hyperlink" xfId="1" builtinId="8" hidden="0"/>
  </cellStyles>
  <dxfs count="2">
    <dxf>
      <font>
        <b val="1"/>
        <color rgb="00006100"/>
      </font>
      <fill>
        <patternFill patternType="solid">
          <fgColor rgb="00E2EFDA"/>
        </patternFill>
      </fill>
    </dxf>
    <dxf>
      <font>
        <b val="1"/>
        <color rgb="009C00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EBITDA (NOK)</a:t>
            </a:r>
          </a:p>
        </rich>
      </tx>
    </title>
    <plotArea>
      <lineChart>
        <grouping val="standard"/>
        <ser>
          <idx val="0"/>
          <order val="0"/>
          <tx>
            <strRef>
              <f>'TOC_and_Summary'!A8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'TOC_and_Summary'!$B$7:$I$7</f>
            </numRef>
          </cat>
          <val>
            <numRef>
              <f>'TOC_and_Summary'!$B$8:$I$8</f>
            </numRef>
          </val>
        </ser>
        <ser>
          <idx val="1"/>
          <order val="1"/>
          <tx>
            <strRef>
              <f>'TOC_and_Summary'!A9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'TOC_and_Summary'!$B$7:$I$7</f>
            </numRef>
          </cat>
          <val>
            <numRef>
              <f>'TOC_and_Summary'!$B$9:$I$9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NOK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4" authorId="0" shapeId="0">
      <text>
        <t>Select a complete, internally coherent planning scenario. Forecasts and sensitivities update on recalculation.</t>
      </text>
    </comment>
    <comment ref="B6" authorId="0" shapeId="0">
      <text>
        <t>Illustrative forecast assumption only; replace with management-approved inputs.</t>
      </text>
    </comment>
    <comment ref="C6" authorId="0" shapeId="0">
      <text>
        <t>Illustrative forecast assumption only; replace with management-approved inputs.</t>
      </text>
    </comment>
    <comment ref="D6" authorId="0" shapeId="0">
      <text>
        <t>Illustrative forecast assumption only; replace with management-approved inputs.</t>
      </text>
    </comment>
    <comment ref="E6" authorId="0" shapeId="0">
      <text>
        <t>Illustrative forecast assumption only; replace with management-approved inputs.</t>
      </text>
    </comment>
    <comment ref="B7" authorId="0" shapeId="0">
      <text>
        <t>Illustrative forecast assumption only; replace with management-approved inputs.</t>
      </text>
    </comment>
    <comment ref="C7" authorId="0" shapeId="0">
      <text>
        <t>Illustrative forecast assumption only; replace with management-approved inputs.</t>
      </text>
    </comment>
    <comment ref="D7" authorId="0" shapeId="0">
      <text>
        <t>Illustrative forecast assumption only; replace with management-approved inputs.</t>
      </text>
    </comment>
    <comment ref="E7" authorId="0" shapeId="0">
      <text>
        <t>Illustrative forecast assumption only; replace with management-approved inputs.</t>
      </text>
    </comment>
    <comment ref="B8" authorId="0" shapeId="0">
      <text>
        <t>Illustrative forecast assumption only; replace with management-approved inputs.</t>
      </text>
    </comment>
    <comment ref="C8" authorId="0" shapeId="0">
      <text>
        <t>Illustrative forecast assumption only; replace with management-approved inputs.</t>
      </text>
    </comment>
    <comment ref="D8" authorId="0" shapeId="0">
      <text>
        <t>Illustrative forecast assumption only; replace with management-approved inputs.</t>
      </text>
    </comment>
    <comment ref="E8" authorId="0" shapeId="0">
      <text>
        <t>Illustrative forecast assumption only; replace with management-approved inputs.</t>
      </text>
    </comment>
    <comment ref="B9" authorId="0" shapeId="0">
      <text>
        <t>Illustrative forecast assumption only; replace with management-approved inputs.</t>
      </text>
    </comment>
    <comment ref="C9" authorId="0" shapeId="0">
      <text>
        <t>Illustrative forecast assumption only; replace with management-approved inputs.</t>
      </text>
    </comment>
    <comment ref="D9" authorId="0" shapeId="0">
      <text>
        <t>Illustrative forecast assumption only; replace with management-approved inputs.</t>
      </text>
    </comment>
    <comment ref="E9" authorId="0" shapeId="0">
      <text>
        <t>Illustrative forecast assumption only; replace with management-approved inputs.</t>
      </text>
    </comment>
    <comment ref="B10" authorId="0" shapeId="0">
      <text>
        <t>Illustrative forecast assumption only; replace with management-approved inputs.</t>
      </text>
    </comment>
    <comment ref="C10" authorId="0" shapeId="0">
      <text>
        <t>Illustrative forecast assumption only; replace with management-approved inputs.</t>
      </text>
    </comment>
    <comment ref="D10" authorId="0" shapeId="0">
      <text>
        <t>Illustrative forecast assumption only; replace with management-approved inputs.</t>
      </text>
    </comment>
    <comment ref="E10" authorId="0" shapeId="0">
      <text>
        <t>Illustrative forecast assumption only; replace with management-approved inputs.</t>
      </text>
    </comment>
    <comment ref="B11" authorId="0" shapeId="0">
      <text>
        <t>Illustrative forecast assumption only; replace with management-approved inputs.</t>
      </text>
    </comment>
    <comment ref="C11" authorId="0" shapeId="0">
      <text>
        <t>Illustrative forecast assumption only; replace with management-approved inputs.</t>
      </text>
    </comment>
    <comment ref="D11" authorId="0" shapeId="0">
      <text>
        <t>Illustrative forecast assumption only; replace with management-approved inputs.</t>
      </text>
    </comment>
    <comment ref="E11" authorId="0" shapeId="0">
      <text>
        <t>Illustrative forecast assumption only; replace with management-approved inputs.</t>
      </text>
    </comment>
    <comment ref="B12" authorId="0" shapeId="0">
      <text>
        <t>Illustrative forecast assumption only; replace with management-approved inputs.</t>
      </text>
    </comment>
    <comment ref="C12" authorId="0" shapeId="0">
      <text>
        <t>Illustrative forecast assumption only; replace with management-approved inputs.</t>
      </text>
    </comment>
    <comment ref="D12" authorId="0" shapeId="0">
      <text>
        <t>Illustrative forecast assumption only; replace with management-approved inputs.</t>
      </text>
    </comment>
    <comment ref="E12" authorId="0" shapeId="0">
      <text>
        <t>Illustrative forecast assumption only; replace with management-approved inputs.</t>
      </text>
    </comment>
    <comment ref="B13" authorId="0" shapeId="0">
      <text>
        <t>Illustrative forecast assumption only; replace with management-approved inputs.</t>
      </text>
    </comment>
    <comment ref="C13" authorId="0" shapeId="0">
      <text>
        <t>Illustrative forecast assumption only; replace with management-approved inputs.</t>
      </text>
    </comment>
    <comment ref="D13" authorId="0" shapeId="0">
      <text>
        <t>Illustrative forecast assumption only; replace with management-approved inputs.</t>
      </text>
    </comment>
    <comment ref="E13" authorId="0" shapeId="0">
      <text>
        <t>Illustrative forecast assumption only; replace with management-approved inputs.</t>
      </text>
    </comment>
    <comment ref="B14" authorId="0" shapeId="0">
      <text>
        <t>Illustrative forecast assumption only; replace with management-approved inputs.</t>
      </text>
    </comment>
    <comment ref="C14" authorId="0" shapeId="0">
      <text>
        <t>Illustrative forecast assumption only; replace with management-approved inputs.</t>
      </text>
    </comment>
    <comment ref="D14" authorId="0" shapeId="0">
      <text>
        <t>Illustrative forecast assumption only; replace with management-approved inputs.</t>
      </text>
    </comment>
    <comment ref="E14" authorId="0" shapeId="0">
      <text>
        <t>Illustrative forecast assumption only; replace with management-approved inputs.</t>
      </text>
    </comment>
    <comment ref="B15" authorId="0" shapeId="0">
      <text>
        <t>Illustrative forecast assumption only; replace with management-approved inputs.</t>
      </text>
    </comment>
    <comment ref="C15" authorId="0" shapeId="0">
      <text>
        <t>Illustrative forecast assumption only; replace with management-approved inputs.</t>
      </text>
    </comment>
    <comment ref="D15" authorId="0" shapeId="0">
      <text>
        <t>Illustrative forecast assumption only; replace with management-approved inputs.</t>
      </text>
    </comment>
    <comment ref="E15" authorId="0" shapeId="0">
      <text>
        <t>Illustrative forecast assumption only; replace with management-approved inputs.</t>
      </text>
    </comment>
    <comment ref="B16" authorId="0" shapeId="0">
      <text>
        <t>Illustrative forecast assumption only; replace with management-approved inputs.</t>
      </text>
    </comment>
    <comment ref="C16" authorId="0" shapeId="0">
      <text>
        <t>Illustrative forecast assumption only; replace with management-approved inputs.</t>
      </text>
    </comment>
    <comment ref="D16" authorId="0" shapeId="0">
      <text>
        <t>Illustrative forecast assumption only; replace with management-approved inputs.</t>
      </text>
    </comment>
    <comment ref="E16" authorId="0" shapeId="0">
      <text>
        <t>Illustrative forecast assumption only; replace with management-approved inputs.</t>
      </text>
    </comment>
    <comment ref="B17" authorId="0" shapeId="0">
      <text>
        <t>Illustrative forecast assumption only; replace with management-approved inputs.</t>
      </text>
    </comment>
    <comment ref="C17" authorId="0" shapeId="0">
      <text>
        <t>Illustrative forecast assumption only; replace with management-approved inputs.</t>
      </text>
    </comment>
    <comment ref="D17" authorId="0" shapeId="0">
      <text>
        <t>Illustrative forecast assumption only; replace with management-approved inputs.</t>
      </text>
    </comment>
    <comment ref="E17" authorId="0" shapeId="0">
      <text>
        <t>Illustrative forecast assumption only; replace with management-approved inputs.</t>
      </text>
    </comment>
    <comment ref="B18" authorId="0" shapeId="0">
      <text>
        <t>Illustrative forecast assumption only; replace with management-approved inputs.</t>
      </text>
    </comment>
    <comment ref="C18" authorId="0" shapeId="0">
      <text>
        <t>Illustrative forecast assumption only; replace with management-approved inputs.</t>
      </text>
    </comment>
    <comment ref="D18" authorId="0" shapeId="0">
      <text>
        <t>Illustrative forecast assumption only; replace with management-approved inputs.</t>
      </text>
    </comment>
    <comment ref="E18" authorId="0" shapeId="0">
      <text>
        <t>Illustrative forecast assumption only; replace with management-approved inputs.</t>
      </text>
    </comment>
    <comment ref="B19" authorId="0" shapeId="0">
      <text>
        <t>Illustrative forecast assumption only; replace with management-approved inputs.</t>
      </text>
    </comment>
    <comment ref="C19" authorId="0" shapeId="0">
      <text>
        <t>Illustrative forecast assumption only; replace with management-approved inputs.</t>
      </text>
    </comment>
    <comment ref="D19" authorId="0" shapeId="0">
      <text>
        <t>Illustrative forecast assumption only; replace with management-approved inputs.</t>
      </text>
    </comment>
    <comment ref="E19" authorId="0" shapeId="0">
      <text>
        <t>Illustrative forecast assumption only; replace with management-approved inputs.</t>
      </text>
    </comment>
    <comment ref="B20" authorId="0" shapeId="0">
      <text>
        <t>Illustrative forecast assumption only; replace with management-approved inputs.</t>
      </text>
    </comment>
    <comment ref="C20" authorId="0" shapeId="0">
      <text>
        <t>Illustrative forecast assumption only; replace with management-approved inputs.</t>
      </text>
    </comment>
    <comment ref="D20" authorId="0" shapeId="0">
      <text>
        <t>Illustrative forecast assumption only; replace with management-approved inputs.</t>
      </text>
    </comment>
    <comment ref="E20" authorId="0" shapeId="0">
      <text>
        <t>Illustrative forecast assumption only; replace with management-approved inputs.</t>
      </text>
    </comment>
    <comment ref="B21" authorId="0" shapeId="0">
      <text>
        <t>Illustrative forecast assumption only; replace with management-approved inputs.</t>
      </text>
    </comment>
    <comment ref="C21" authorId="0" shapeId="0">
      <text>
        <t>Illustrative forecast assumption only; replace with management-approved inputs.</t>
      </text>
    </comment>
    <comment ref="D21" authorId="0" shapeId="0">
      <text>
        <t>Illustrative forecast assumption only; replace with management-approved inputs.</t>
      </text>
    </comment>
    <comment ref="E21" authorId="0" shapeId="0">
      <text>
        <t>Illustrative forecast assumption only; replace with management-approved inputs.</t>
      </text>
    </comment>
    <comment ref="B22" authorId="0" shapeId="0">
      <text>
        <t>Illustrative probability weight; scenario weights must sum to 100%.</t>
      </text>
    </comment>
    <comment ref="C22" authorId="0" shapeId="0">
      <text>
        <t>Illustrative probability weight; scenario weights must sum to 100%.</t>
      </text>
    </comment>
    <comment ref="D22" authorId="0" shapeId="0">
      <text>
        <t>Illustrative probability weight; scenario weights must sum to 100%.</t>
      </text>
    </comment>
    <comment ref="E22" authorId="0" shapeId="0">
      <text>
        <t>Illustrative probability weight; scenario weights must sum to 100%.</t>
      </text>
    </comment>
    <comment ref="B24" authorId="0" shapeId="0">
      <text>
        <t>Annual day-count convention used in DSO, DIO, and DPO schedules.</t>
      </text>
    </comment>
    <comment ref="B25" authorId="0" shapeId="0">
      <text>
        <t>Tolerance used for balance-sheet and reconciliation checks.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E4" authorId="0" shapeId="0">
      <text>
        <t>Forecast period begins; all assumptions are editable on Assumptions_and_Inputs.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E4" authorId="0" shapeId="0">
      <text>
        <t>Forecast period begins; all assumptions are editable on Assumptions_and_Inputs.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C5" authorId="0" shapeId="0">
      <text>
        <t>Sensitivity shock to the selected scenario's non-personnel operating cost ratio.</t>
      </text>
    </comment>
    <comment ref="D5" authorId="0" shapeId="0">
      <text>
        <t>Sensitivity shock to the selected scenario's non-personnel operating cost ratio.</t>
      </text>
    </comment>
    <comment ref="E5" authorId="0" shapeId="0">
      <text>
        <t>Sensitivity shock to the selected scenario's non-personnel operating cost ratio.</t>
      </text>
    </comment>
    <comment ref="F5" authorId="0" shapeId="0">
      <text>
        <t>Sensitivity shock to the selected scenario's non-personnel operating cost ratio.</t>
      </text>
    </comment>
    <comment ref="G5" authorId="0" shapeId="0">
      <text>
        <t>Sensitivity shock to the selected scenario's non-personnel operating cost ratio.</t>
      </text>
    </comment>
    <comment ref="B7" authorId="0" shapeId="0">
      <text>
        <t>Sensitivity shift in annual volume growth relative to active scenario.</t>
      </text>
    </comment>
    <comment ref="B8" authorId="0" shapeId="0">
      <text>
        <t>Sensitivity shift in annual volume growth relative to active scenario.</t>
      </text>
    </comment>
    <comment ref="B9" authorId="0" shapeId="0">
      <text>
        <t>Sensitivity shift in annual volume growth relative to active scenario.</t>
      </text>
    </comment>
    <comment ref="B10" authorId="0" shapeId="0">
      <text>
        <t>Sensitivity shift in annual volume growth relative to active scenario.</t>
      </text>
    </comment>
    <comment ref="B11" authorId="0" shapeId="0">
      <text>
        <t>Sensitivity shift in annual volume growth relative to active scenario.</t>
      </text>
    </comment>
    <comment ref="G17" authorId="0" shapeId="0">
      <text>
        <t>Editable one-way downside shock for tornado sensitivity.</t>
      </text>
    </comment>
    <comment ref="H17" authorId="0" shapeId="0">
      <text>
        <t>Editable one-way upside shock for tornado sensitivity.</t>
      </text>
    </comment>
    <comment ref="G18" authorId="0" shapeId="0">
      <text>
        <t>Editable one-way downside shock for tornado sensitivity.</t>
      </text>
    </comment>
    <comment ref="H18" authorId="0" shapeId="0">
      <text>
        <t>Editable one-way upside shock for tornado sensitivity.</t>
      </text>
    </comment>
    <comment ref="G19" authorId="0" shapeId="0">
      <text>
        <t>Editable one-way downside shock for tornado sensitivity.</t>
      </text>
    </comment>
    <comment ref="H19" authorId="0" shapeId="0">
      <text>
        <t>Editable one-way upside shock for tornado sensitivity.</t>
      </text>
    </comment>
    <comment ref="G20" authorId="0" shapeId="0">
      <text>
        <t>Editable one-way downside shock for tornado sensitivity.</t>
      </text>
    </comment>
    <comment ref="H20" authorId="0" shapeId="0">
      <text>
        <t>Editable one-way upside shock for tornado sensitivity.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B5" authorId="0" shapeId="0">
      <text>
        <t>Source: amok_equipment_alle_aar_wide.csv, 2023, field 'salgsinntekter'.</t>
      </text>
    </comment>
    <comment ref="C5" authorId="0" shapeId="0">
      <text>
        <t>Source: amok_equipment_alle_aar_wide.csv, 2024, field 'salgsinntekter'.</t>
      </text>
    </comment>
    <comment ref="D5" authorId="0" shapeId="0">
      <text>
        <t>Source: amok_equipment_alle_aar_wide.csv, 2025, field 'salgsinntekter'.</t>
      </text>
    </comment>
    <comment ref="B6" authorId="0" shapeId="0">
      <text>
        <t>Source: amok_equipment_alle_aar_wide.csv, 2023, field 'driftskostnader'.</t>
      </text>
    </comment>
    <comment ref="C6" authorId="0" shapeId="0">
      <text>
        <t>Source: amok_equipment_alle_aar_wide.csv, 2024, field 'driftskostnader'.</t>
      </text>
    </comment>
    <comment ref="D6" authorId="0" shapeId="0">
      <text>
        <t>Source: amok_equipment_alle_aar_wide.csv, 2025, field 'driftskostnader'.</t>
      </text>
    </comment>
    <comment ref="B7" authorId="0" shapeId="0">
      <text>
        <t>Source: amok_equipment_alle_aar_wide.csv, 2023, field 'lonnskostnad'.</t>
      </text>
    </comment>
    <comment ref="C7" authorId="0" shapeId="0">
      <text>
        <t>Source: amok_equipment_alle_aar_wide.csv, 2024, field 'lonnskostnad'.</t>
      </text>
    </comment>
    <comment ref="D7" authorId="0" shapeId="0">
      <text>
        <t>Source: amok_equipment_alle_aar_wide.csv, 2025, field 'lonnskostnad'.</t>
      </text>
    </comment>
    <comment ref="B8" authorId="0" shapeId="0">
      <text>
        <t>Source: amok_equipment_alle_aar_wide.csv, 2023, field 'driftsresultat'.</t>
      </text>
    </comment>
    <comment ref="C8" authorId="0" shapeId="0">
      <text>
        <t>Source: amok_equipment_alle_aar_wide.csv, 2024, field 'driftsresultat'.</t>
      </text>
    </comment>
    <comment ref="D8" authorId="0" shapeId="0">
      <text>
        <t>Source: amok_equipment_alle_aar_wide.csv, 2025, field 'driftsresultat'.</t>
      </text>
    </comment>
    <comment ref="B9" authorId="0" shapeId="0">
      <text>
        <t>Source: amok_equipment_alle_aar_wide.csv, 2023, field 'netto_finans'.</t>
      </text>
    </comment>
    <comment ref="C9" authorId="0" shapeId="0">
      <text>
        <t>Source: amok_equipment_alle_aar_wide.csv, 2024, field 'netto_finans'.</t>
      </text>
    </comment>
    <comment ref="D9" authorId="0" shapeId="0">
      <text>
        <t>Source: amok_equipment_alle_aar_wide.csv, 2025, field 'netto_finans'.</t>
      </text>
    </comment>
    <comment ref="B10" authorId="0" shapeId="0">
      <text>
        <t>Source: amok_equipment_alle_aar_wide.csv, 2023, field 'skattekostnad'.</t>
      </text>
    </comment>
    <comment ref="C10" authorId="0" shapeId="0">
      <text>
        <t>Source: amok_equipment_alle_aar_wide.csv, 2024, field 'skattekostnad'.</t>
      </text>
    </comment>
    <comment ref="D10" authorId="0" shapeId="0">
      <text>
        <t>Source: amok_equipment_alle_aar_wide.csv, 2025, field 'skattekostnad'.</t>
      </text>
    </comment>
    <comment ref="B11" authorId="0" shapeId="0">
      <text>
        <t>Source: amok_equipment_alle_aar_wide.csv, 2023, field 'arsresultat'.</t>
      </text>
    </comment>
    <comment ref="C11" authorId="0" shapeId="0">
      <text>
        <t>Source: amok_equipment_alle_aar_wide.csv, 2024, field 'arsresultat'.</t>
      </text>
    </comment>
    <comment ref="D11" authorId="0" shapeId="0">
      <text>
        <t>Source: amok_equipment_alle_aar_wide.csv, 2025, field 'arsresultat'.</t>
      </text>
    </comment>
    <comment ref="B12" authorId="0" shapeId="0">
      <text>
        <t>Source: amok_equipment_alle_aar_wide.csv, 2023, field 'anleggsmidler'.</t>
      </text>
    </comment>
    <comment ref="C12" authorId="0" shapeId="0">
      <text>
        <t>Source: amok_equipment_alle_aar_wide.csv, 2024, field 'anleggsmidler'.</t>
      </text>
    </comment>
    <comment ref="D12" authorId="0" shapeId="0">
      <text>
        <t>Source: amok_equipment_alle_aar_wide.csv, 2025, field 'anleggsmidler'.</t>
      </text>
    </comment>
    <comment ref="B13" authorId="0" shapeId="0">
      <text>
        <t>Source: amok_equipment_alle_aar_wide.csv, 2023, field 'omlopsmidler'.</t>
      </text>
    </comment>
    <comment ref="C13" authorId="0" shapeId="0">
      <text>
        <t>Source: amok_equipment_alle_aar_wide.csv, 2024, field 'omlopsmidler'.</t>
      </text>
    </comment>
    <comment ref="D13" authorId="0" shapeId="0">
      <text>
        <t>Source: amok_equipment_alle_aar_wide.csv, 2025, field 'omlopsmidler'.</t>
      </text>
    </comment>
    <comment ref="B14" authorId="0" shapeId="0">
      <text>
        <t>Source: amok_equipment_alle_aar_wide.csv, 2023, field 'varer'.</t>
      </text>
    </comment>
    <comment ref="C14" authorId="0" shapeId="0">
      <text>
        <t>Source: amok_equipment_alle_aar_wide.csv, 2024, field 'varer'.</t>
      </text>
    </comment>
    <comment ref="B15" authorId="0" shapeId="0">
      <text>
        <t>Source: amok_equipment_alle_aar_wide.csv, 2023, field 'fordringer'.</t>
      </text>
    </comment>
    <comment ref="C15" authorId="0" shapeId="0">
      <text>
        <t>Source: amok_equipment_alle_aar_wide.csv, 2024, field 'fordringer'.</t>
      </text>
    </comment>
    <comment ref="D15" authorId="0" shapeId="0">
      <text>
        <t>Source: amok_equipment_alle_aar_wide.csv, 2025, field 'fordringer'.</t>
      </text>
    </comment>
    <comment ref="B16" authorId="0" shapeId="0">
      <text>
        <t>Source: amok_equipment_alle_aar_wide.csv, 2023, field 'bank'.</t>
      </text>
    </comment>
    <comment ref="C16" authorId="0" shapeId="0">
      <text>
        <t>Source: amok_equipment_alle_aar_wide.csv, 2024, field 'bank'.</t>
      </text>
    </comment>
    <comment ref="D16" authorId="0" shapeId="0">
      <text>
        <t>Source: amok_equipment_alle_aar_wide.csv, 2025, field 'bank'.</t>
      </text>
    </comment>
    <comment ref="B17" authorId="0" shapeId="0">
      <text>
        <t>Source: amok_equipment_alle_aar_wide.csv, 2023, field 'sum_eiendeler'.</t>
      </text>
    </comment>
    <comment ref="C17" authorId="0" shapeId="0">
      <text>
        <t>Source: amok_equipment_alle_aar_wide.csv, 2024, field 'sum_eiendeler'.</t>
      </text>
    </comment>
    <comment ref="D17" authorId="0" shapeId="0">
      <text>
        <t>Source: amok_equipment_alle_aar_wide.csv, 2025, field 'sum_eiendeler'.</t>
      </text>
    </comment>
    <comment ref="B18" authorId="0" shapeId="0">
      <text>
        <t>Source: amok_equipment_alle_aar_wide.csv, 2023, field 'kortsiktig_gjeld'.</t>
      </text>
    </comment>
    <comment ref="C18" authorId="0" shapeId="0">
      <text>
        <t>Source: amok_equipment_alle_aar_wide.csv, 2024, field 'kortsiktig_gjeld'.</t>
      </text>
    </comment>
    <comment ref="D18" authorId="0" shapeId="0">
      <text>
        <t>Source: amok_equipment_alle_aar_wide.csv, 2025, field 'kortsiktig_gjeld'.</t>
      </text>
    </comment>
    <comment ref="B19" authorId="0" shapeId="0">
      <text>
        <t>Source: amok_equipment_alle_aar_wide.csv, 2023, field 'langsiktig_gjeld'.</t>
      </text>
    </comment>
    <comment ref="C19" authorId="0" shapeId="0">
      <text>
        <t>Source: amok_equipment_alle_aar_wide.csv, 2024, field 'langsiktig_gjeld'.</t>
      </text>
    </comment>
    <comment ref="B20" authorId="0" shapeId="0">
      <text>
        <t>Source: amok_equipment_alle_aar_wide.csv, 2023, field 'sum_gjeld'.</t>
      </text>
    </comment>
    <comment ref="C20" authorId="0" shapeId="0">
      <text>
        <t>Source: amok_equipment_alle_aar_wide.csv, 2024, field 'sum_gjeld'.</t>
      </text>
    </comment>
    <comment ref="D20" authorId="0" shapeId="0">
      <text>
        <t>Source: amok_equipment_alle_aar_wide.csv, 2025, field 'sum_gjeld'.</t>
      </text>
    </comment>
    <comment ref="B21" authorId="0" shapeId="0">
      <text>
        <t>Source: amok_equipment_alle_aar_wide.csv, 2023, field 'egenkapital'.</t>
      </text>
    </comment>
    <comment ref="C21" authorId="0" shapeId="0">
      <text>
        <t>Source: amok_equipment_alle_aar_wide.csv, 2024, field 'egenkapital'.</t>
      </text>
    </comment>
    <comment ref="D21" authorId="0" shapeId="0">
      <text>
        <t>Source: amok_equipment_alle_aar_wide.csv, 2025, field 'egenkapital'.</t>
      </text>
    </comment>
    <comment ref="C25" authorId="0" shapeId="0">
      <text>
        <t>Source: amok_cash_flow_2024_2025.csv, 2024, 'Årsresultat'.</t>
      </text>
    </comment>
    <comment ref="D25" authorId="0" shapeId="0">
      <text>
        <t>Source: amok_cash_flow_2024_2025.csv, 2025, 'Årsresultat'.</t>
      </text>
    </comment>
    <comment ref="B26" authorId="0" shapeId="0">
      <text>
        <t>No 2023 D&amp;A detail was supplied. Zero is a presentation proxy, not a reported figure.</t>
      </text>
    </comment>
    <comment ref="C26" authorId="0" shapeId="0">
      <text>
        <t>Source: amok_cash_flow_2024_2025.csv, 2024, 'Avskrivninger'.</t>
      </text>
    </comment>
    <comment ref="D26" authorId="0" shapeId="0">
      <text>
        <t>Source: amok_cash_flow_2024_2025.csv, 2025, 'Avskrivninger'.</t>
      </text>
    </comment>
    <comment ref="C27" authorId="0" shapeId="0">
      <text>
        <t>Source: amok_cash_flow_2024_2025.csv, 2024, 'Endring kundefordringer'.</t>
      </text>
    </comment>
    <comment ref="D27" authorId="0" shapeId="0">
      <text>
        <t>Source: amok_cash_flow_2024_2025.csv, 2025, 'Endring kundefordringer'.</t>
      </text>
    </comment>
    <comment ref="C28" authorId="0" shapeId="0">
      <text>
        <t>Source: amok_cash_flow_2024_2025.csv, 2024, 'Endring varelager'.</t>
      </text>
    </comment>
    <comment ref="D28" authorId="0" shapeId="0">
      <text>
        <t>Source: amok_cash_flow_2024_2025.csv, 2025, 'Endring varelager'.</t>
      </text>
    </comment>
    <comment ref="C29" authorId="0" shapeId="0">
      <text>
        <t>Source: amok_cash_flow_2024_2025.csv, 2024, 'Endring leverandørgjeld'.</t>
      </text>
    </comment>
    <comment ref="D29" authorId="0" shapeId="0">
      <text>
        <t>Source: amok_cash_flow_2024_2025.csv, 2025, 'Endring leverandørgjeld'.</t>
      </text>
    </comment>
    <comment ref="C30" authorId="0" shapeId="0">
      <text>
        <t>Source: amok_cash_flow_2024_2025.csv, 2024, 'Estimert kontantstrøm fra drift'.</t>
      </text>
    </comment>
    <comment ref="D30" authorId="0" shapeId="0">
      <text>
        <t>Source: amok_cash_flow_2024_2025.csv, 2025, 'Estimert kontantstrøm fra drift'.</t>
      </text>
    </comment>
    <comment ref="C31" authorId="0" shapeId="0">
      <text>
        <t>Source: amok_cash_flow_2024_2025.csv, 2024, 'Åpningsbank'.</t>
      </text>
    </comment>
    <comment ref="D31" authorId="0" shapeId="0">
      <text>
        <t>Source: amok_cash_flow_2024_2025.csv, 2025, 'Åpningsbank'.</t>
      </text>
    </comment>
    <comment ref="C32" authorId="0" shapeId="0">
      <text>
        <t>Source: amok_cash_flow_2024_2025.csv, 2024, 'Sluttbank'.</t>
      </text>
    </comment>
    <comment ref="D32" authorId="0" shapeId="0">
      <text>
        <t>Source: amok_cash_flow_2024_2025.csv, 2025, 'Sluttbank'.</t>
      </text>
    </comment>
    <comment ref="C33" authorId="0" shapeId="0">
      <text>
        <t>Source: amok_cash_flow_2024_2025.csv, 2024, 'Ufordelt øvrig kontantstrøm'.</t>
      </text>
    </comment>
    <comment ref="D33" authorId="0" shapeId="0">
      <text>
        <t>Source: amok_cash_flow_2024_2025.csv, 2025, 'Ufordelt øvrig kontantstrøm'.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ssumptions_and_Inputs'!A1" TargetMode="External" Id="rId1"/><Relationship Type="http://schemas.openxmlformats.org/officeDocument/2006/relationships/hyperlink" Target="#'Financial_Statements'!A1" TargetMode="External" Id="rId2"/><Relationship Type="http://schemas.openxmlformats.org/officeDocument/2006/relationships/hyperlink" Target="#'Supporting_Schedules'!A1" TargetMode="External" Id="rId3"/><Relationship Type="http://schemas.openxmlformats.org/officeDocument/2006/relationships/hyperlink" Target="#'Scenario_Analysis'!A1" TargetMode="External" Id="rId4"/><Relationship Type="http://schemas.openxmlformats.org/officeDocument/2006/relationships/hyperlink" Target="#'Sensitivity_Analysis'!A1" TargetMode="External" Id="rId5"/><Relationship Type="http://schemas.openxmlformats.org/officeDocument/2006/relationships/hyperlink" Target="#'Model_Checks'!A1" TargetMode="External" Id="rId6"/><Relationship Type="http://schemas.openxmlformats.org/officeDocument/2006/relationships/hyperlink" Target="#'Historical_Data'!A1" TargetMode="External" Id="rId7"/><Relationship Type="http://schemas.openxmlformats.org/officeDocument/2006/relationships/drawing" Target="/xl/drawings/drawing1.xml" Id="rId8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I34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B5" sqref="B5"/>
      <selection pane="bottomLeft"/>
      <selection pane="bottomRight" activeCell="A1" sqref="A1"/>
    </sheetView>
  </sheetViews>
  <sheetFormatPr baseColWidth="8" defaultRowHeight="15"/>
  <cols>
    <col width="43" customWidth="1" min="1" max="1"/>
    <col width="20" customWidth="1" min="2" max="2"/>
    <col width="18" customWidth="1" min="3" max="3"/>
    <col width="20" customWidth="1" min="4" max="4"/>
    <col width="20" customWidth="1" min="5" max="5"/>
    <col width="16" customWidth="1" min="6" max="6"/>
    <col width="17" customWidth="1" min="7" max="7"/>
    <col width="19" customWidth="1" min="8" max="8"/>
    <col width="15" customWidth="1" min="9" max="9"/>
  </cols>
  <sheetData>
    <row r="1" ht="27" customHeight="1">
      <c r="A1" s="1" t="inlineStr">
        <is>
          <t>Amok Equipment AS | Integrated 3-Statement Model</t>
        </is>
      </c>
    </row>
    <row r="2">
      <c r="A2" s="2">
        <f>IF(Model_Checks!$B$2=0,"ALL CHECKS PASSED","MODEL CHECKS FAILED")</f>
        <v/>
      </c>
    </row>
    <row r="3">
      <c r="A3" s="3" t="inlineStr">
        <is>
          <t>Amok Equipment AS | NOK unless stated | Generated 2026-10-10 | Version 1.0</t>
        </is>
      </c>
    </row>
    <row r="4">
      <c r="A4" t="inlineStr">
        <is>
          <t>Active scenario</t>
        </is>
      </c>
      <c r="B4" s="4">
        <f>Assumptions_and_Inputs!$B$4</f>
        <v/>
      </c>
      <c r="D4" t="inlineStr">
        <is>
          <t>Forecast period</t>
        </is>
      </c>
      <c r="E4" t="inlineStr">
        <is>
          <t>2026-2030</t>
        </is>
      </c>
      <c r="G4" t="inlineStr">
        <is>
          <t>Model status</t>
        </is>
      </c>
      <c r="H4" s="4">
        <f>Model_Checks!$A$2</f>
        <v/>
      </c>
    </row>
    <row r="5"/>
    <row r="6">
      <c r="A6" s="5" t="inlineStr">
        <is>
          <t>Selected-scenario financial overview (NOK)</t>
        </is>
      </c>
    </row>
    <row r="7">
      <c r="A7" s="6" t="inlineStr">
        <is>
          <t>Metric</t>
        </is>
      </c>
      <c r="B7" s="6" t="n">
        <v>2023</v>
      </c>
      <c r="C7" s="6" t="n">
        <v>2024</v>
      </c>
      <c r="D7" s="6" t="n">
        <v>2025</v>
      </c>
      <c r="E7" s="6" t="n">
        <v>2026</v>
      </c>
      <c r="F7" s="6" t="n">
        <v>2027</v>
      </c>
      <c r="G7" s="6" t="n">
        <v>2028</v>
      </c>
      <c r="H7" s="6" t="n">
        <v>2029</v>
      </c>
      <c r="I7" s="6" t="n">
        <v>2030</v>
      </c>
    </row>
    <row r="8">
      <c r="A8" s="7" t="inlineStr">
        <is>
          <t>Revenue</t>
        </is>
      </c>
      <c r="B8" s="8">
        <f>Financial_Statements!B6</f>
        <v/>
      </c>
      <c r="C8" s="8">
        <f>Financial_Statements!C6</f>
        <v/>
      </c>
      <c r="D8" s="8">
        <f>Financial_Statements!D6</f>
        <v/>
      </c>
      <c r="E8" s="8">
        <f>Financial_Statements!E6</f>
        <v/>
      </c>
      <c r="F8" s="8">
        <f>Financial_Statements!F6</f>
        <v/>
      </c>
      <c r="G8" s="8">
        <f>Financial_Statements!G6</f>
        <v/>
      </c>
      <c r="H8" s="8">
        <f>Financial_Statements!H6</f>
        <v/>
      </c>
      <c r="I8" s="8">
        <f>Financial_Statements!I6</f>
        <v/>
      </c>
    </row>
    <row r="9">
      <c r="A9" s="7" t="inlineStr">
        <is>
          <t>EBITDA</t>
        </is>
      </c>
      <c r="B9" s="8">
        <f>Financial_Statements!B12</f>
        <v/>
      </c>
      <c r="C9" s="8">
        <f>Financial_Statements!C12</f>
        <v/>
      </c>
      <c r="D9" s="8">
        <f>Financial_Statements!D12</f>
        <v/>
      </c>
      <c r="E9" s="8">
        <f>Financial_Statements!E12</f>
        <v/>
      </c>
      <c r="F9" s="8">
        <f>Financial_Statements!F12</f>
        <v/>
      </c>
      <c r="G9" s="8">
        <f>Financial_Statements!G12</f>
        <v/>
      </c>
      <c r="H9" s="8">
        <f>Financial_Statements!H12</f>
        <v/>
      </c>
      <c r="I9" s="8">
        <f>Financial_Statements!I12</f>
        <v/>
      </c>
    </row>
    <row r="10">
      <c r="A10" s="7" t="inlineStr">
        <is>
          <t>EBITDA margin</t>
        </is>
      </c>
      <c r="B10" s="9">
        <f>Financial_Statements!B13</f>
        <v/>
      </c>
      <c r="C10" s="9">
        <f>Financial_Statements!C13</f>
        <v/>
      </c>
      <c r="D10" s="9">
        <f>Financial_Statements!D13</f>
        <v/>
      </c>
      <c r="E10" s="9">
        <f>Financial_Statements!E13</f>
        <v/>
      </c>
      <c r="F10" s="9">
        <f>Financial_Statements!F13</f>
        <v/>
      </c>
      <c r="G10" s="9">
        <f>Financial_Statements!G13</f>
        <v/>
      </c>
      <c r="H10" s="9">
        <f>Financial_Statements!H13</f>
        <v/>
      </c>
      <c r="I10" s="9">
        <f>Financial_Statements!I13</f>
        <v/>
      </c>
    </row>
    <row r="11">
      <c r="A11" s="7" t="inlineStr">
        <is>
          <t>Net income</t>
        </is>
      </c>
      <c r="B11" s="8">
        <f>Financial_Statements!B20</f>
        <v/>
      </c>
      <c r="C11" s="8">
        <f>Financial_Statements!C20</f>
        <v/>
      </c>
      <c r="D11" s="8">
        <f>Financial_Statements!D20</f>
        <v/>
      </c>
      <c r="E11" s="8">
        <f>Financial_Statements!E20</f>
        <v/>
      </c>
      <c r="F11" s="8">
        <f>Financial_Statements!F20</f>
        <v/>
      </c>
      <c r="G11" s="8">
        <f>Financial_Statements!G20</f>
        <v/>
      </c>
      <c r="H11" s="8">
        <f>Financial_Statements!H20</f>
        <v/>
      </c>
      <c r="I11" s="8">
        <f>Financial_Statements!I20</f>
        <v/>
      </c>
    </row>
    <row r="12">
      <c r="A12" s="7" t="inlineStr">
        <is>
          <t>Ending cash</t>
        </is>
      </c>
      <c r="B12" s="8">
        <f>Financial_Statements!B55</f>
        <v/>
      </c>
      <c r="C12" s="8">
        <f>Financial_Statements!C55</f>
        <v/>
      </c>
      <c r="D12" s="8">
        <f>Financial_Statements!D55</f>
        <v/>
      </c>
      <c r="E12" s="8">
        <f>Financial_Statements!E55</f>
        <v/>
      </c>
      <c r="F12" s="8">
        <f>Financial_Statements!F55</f>
        <v/>
      </c>
      <c r="G12" s="8">
        <f>Financial_Statements!G55</f>
        <v/>
      </c>
      <c r="H12" s="8">
        <f>Financial_Statements!H55</f>
        <v/>
      </c>
      <c r="I12" s="8">
        <f>Financial_Statements!I55</f>
        <v/>
      </c>
    </row>
    <row r="13">
      <c r="A13" s="7" t="inlineStr">
        <is>
          <t>Total debt</t>
        </is>
      </c>
      <c r="B13" s="8">
        <f>Financial_Statements!B31</f>
        <v/>
      </c>
      <c r="C13" s="8">
        <f>Financial_Statements!C31</f>
        <v/>
      </c>
      <c r="D13" s="8">
        <f>Financial_Statements!D31</f>
        <v/>
      </c>
      <c r="E13" s="8">
        <f>Financial_Statements!E31</f>
        <v/>
      </c>
      <c r="F13" s="8">
        <f>Financial_Statements!F31</f>
        <v/>
      </c>
      <c r="G13" s="8">
        <f>Financial_Statements!G31</f>
        <v/>
      </c>
      <c r="H13" s="8">
        <f>Financial_Statements!H31</f>
        <v/>
      </c>
      <c r="I13" s="8">
        <f>Financial_Statements!I31</f>
        <v/>
      </c>
    </row>
    <row r="14"/>
    <row r="15"/>
    <row r="16">
      <c r="A16" s="5" t="inlineStr">
        <is>
          <t>Scenario comparison | 2030 outcomes</t>
        </is>
      </c>
    </row>
    <row r="17">
      <c r="A17" s="6" t="inlineStr">
        <is>
          <t>Scenario</t>
        </is>
      </c>
      <c r="B17" s="6" t="inlineStr">
        <is>
          <t>Revenue</t>
        </is>
      </c>
      <c r="C17" s="6" t="inlineStr">
        <is>
          <t>EBITDA</t>
        </is>
      </c>
      <c r="D17" s="6" t="inlineStr">
        <is>
          <t>EBITDA margin</t>
        </is>
      </c>
      <c r="E17" s="6" t="inlineStr">
        <is>
          <t>Ending cash</t>
        </is>
      </c>
      <c r="F17" s="6" t="inlineStr">
        <is>
          <t>Revolver debt</t>
        </is>
      </c>
      <c r="G17" s="6" t="inlineStr">
        <is>
          <t>Liquidity</t>
        </is>
      </c>
    </row>
    <row r="18">
      <c r="A18" s="7" t="inlineStr">
        <is>
          <t>Base Case</t>
        </is>
      </c>
      <c r="B18" s="8">
        <f>Scenario_Analysis!B5</f>
        <v/>
      </c>
      <c r="C18" s="8">
        <f>Scenario_Analysis!B6</f>
        <v/>
      </c>
      <c r="D18" s="9">
        <f>Scenario_Analysis!B7</f>
        <v/>
      </c>
      <c r="E18" s="8">
        <f>Scenario_Analysis!B8</f>
        <v/>
      </c>
      <c r="F18" s="8">
        <f>Scenario_Analysis!B9</f>
        <v/>
      </c>
      <c r="G18" s="10">
        <f>Scenario_Analysis!B10</f>
        <v/>
      </c>
    </row>
    <row r="19">
      <c r="A19" s="7" t="inlineStr">
        <is>
          <t>Bull Case</t>
        </is>
      </c>
      <c r="B19" s="8">
        <f>Scenario_Analysis!C5</f>
        <v/>
      </c>
      <c r="C19" s="8">
        <f>Scenario_Analysis!C6</f>
        <v/>
      </c>
      <c r="D19" s="9">
        <f>Scenario_Analysis!C7</f>
        <v/>
      </c>
      <c r="E19" s="8">
        <f>Scenario_Analysis!C8</f>
        <v/>
      </c>
      <c r="F19" s="8">
        <f>Scenario_Analysis!C9</f>
        <v/>
      </c>
      <c r="G19" s="10">
        <f>Scenario_Analysis!C10</f>
        <v/>
      </c>
    </row>
    <row r="20">
      <c r="A20" s="7" t="inlineStr">
        <is>
          <t>Bear Case</t>
        </is>
      </c>
      <c r="B20" s="8">
        <f>Scenario_Analysis!D5</f>
        <v/>
      </c>
      <c r="C20" s="8">
        <f>Scenario_Analysis!D6</f>
        <v/>
      </c>
      <c r="D20" s="9">
        <f>Scenario_Analysis!D7</f>
        <v/>
      </c>
      <c r="E20" s="8">
        <f>Scenario_Analysis!D8</f>
        <v/>
      </c>
      <c r="F20" s="8">
        <f>Scenario_Analysis!D9</f>
        <v/>
      </c>
      <c r="G20" s="10">
        <f>Scenario_Analysis!D10</f>
        <v/>
      </c>
    </row>
    <row r="21">
      <c r="A21" s="7" t="inlineStr">
        <is>
          <t>Severe Stress</t>
        </is>
      </c>
      <c r="B21" s="8">
        <f>Scenario_Analysis!E5</f>
        <v/>
      </c>
      <c r="C21" s="8">
        <f>Scenario_Analysis!E6</f>
        <v/>
      </c>
      <c r="D21" s="9">
        <f>Scenario_Analysis!E7</f>
        <v/>
      </c>
      <c r="E21" s="8">
        <f>Scenario_Analysis!E8</f>
        <v/>
      </c>
      <c r="F21" s="8">
        <f>Scenario_Analysis!E9</f>
        <v/>
      </c>
      <c r="G21" s="10">
        <f>Scenario_Analysis!E10</f>
        <v/>
      </c>
    </row>
    <row r="22"/>
    <row r="23"/>
    <row r="24">
      <c r="A24" s="5" t="inlineStr">
        <is>
          <t>Workbook navigation</t>
        </is>
      </c>
    </row>
    <row r="25">
      <c r="A25" s="11" t="inlineStr">
        <is>
          <t>Assumptions_and_Inputs</t>
        </is>
      </c>
      <c r="B25" s="7" t="inlineStr">
        <is>
          <t>Edit scenario selector and forecast assumptions</t>
        </is>
      </c>
    </row>
    <row r="26">
      <c r="A26" s="11" t="inlineStr">
        <is>
          <t>Financial_Statements</t>
        </is>
      </c>
      <c r="B26" s="7" t="inlineStr">
        <is>
          <t>Integrated income statement, balance sheet, and cash flow</t>
        </is>
      </c>
    </row>
    <row r="27">
      <c r="A27" s="11" t="inlineStr">
        <is>
          <t>Supporting_Schedules</t>
        </is>
      </c>
      <c r="B27" s="7" t="inlineStr">
        <is>
          <t>Working capital, PP&amp;E, debt, and equity corkscrews</t>
        </is>
      </c>
    </row>
    <row r="28">
      <c r="A28" s="11" t="inlineStr">
        <is>
          <t>Scenario_Analysis</t>
        </is>
      </c>
      <c r="B28" s="7" t="inlineStr">
        <is>
          <t>Compare scenario revenue and EBITDA</t>
        </is>
      </c>
    </row>
    <row r="29">
      <c r="A29" s="11" t="inlineStr">
        <is>
          <t>Sensitivity_Analysis</t>
        </is>
      </c>
      <c r="B29" s="7" t="inlineStr">
        <is>
          <t>Two-way heatmap, tornado shocks, and elasticity</t>
        </is>
      </c>
    </row>
    <row r="30">
      <c r="A30" s="11" t="inlineStr">
        <is>
          <t>Model_Checks</t>
        </is>
      </c>
      <c r="B30" s="7" t="inlineStr">
        <is>
          <t>Accounting and formula-integrity checks</t>
        </is>
      </c>
    </row>
    <row r="31">
      <c r="A31" s="11" t="inlineStr">
        <is>
          <t>Historical_Data</t>
        </is>
      </c>
      <c r="B31" s="7" t="inlineStr">
        <is>
          <t>Source inputs and mapping notes</t>
        </is>
      </c>
    </row>
    <row r="32"/>
    <row r="33"/>
    <row r="34" ht="30" customHeight="1">
      <c r="A34" s="12" t="inlineStr">
        <is>
          <t>Blue fill / blue font = editable input; green font = formula. Base-case forecast assumptions are illustrative and require management review.</t>
        </is>
      </c>
    </row>
  </sheetData>
  <mergeCells count="6">
    <mergeCell ref="A2:I2"/>
    <mergeCell ref="A1:I1"/>
    <mergeCell ref="A16:G16"/>
    <mergeCell ref="A3:I3"/>
    <mergeCell ref="A6:I6"/>
    <mergeCell ref="A34:I34"/>
  </mergeCells>
  <conditionalFormatting sqref="A2:I2">
    <cfRule type="expression" priority="1" dxfId="0">
      <formula>Model_Checks!$B$2=0</formula>
    </cfRule>
    <cfRule type="expression" priority="2" dxfId="1">
      <formula>Model_Checks!$B$2&gt;0</formula>
    </cfRule>
  </conditionalFormatting>
  <hyperlinks>
    <hyperlink xmlns:r="http://schemas.openxmlformats.org/officeDocument/2006/relationships" ref="A25" r:id="rId1"/>
    <hyperlink xmlns:r="http://schemas.openxmlformats.org/officeDocument/2006/relationships" ref="A26" r:id="rId2"/>
    <hyperlink xmlns:r="http://schemas.openxmlformats.org/officeDocument/2006/relationships" ref="A27" r:id="rId3"/>
    <hyperlink xmlns:r="http://schemas.openxmlformats.org/officeDocument/2006/relationships" ref="A28" r:id="rId4"/>
    <hyperlink xmlns:r="http://schemas.openxmlformats.org/officeDocument/2006/relationships" ref="A29" r:id="rId5"/>
    <hyperlink xmlns:r="http://schemas.openxmlformats.org/officeDocument/2006/relationships" ref="A30" r:id="rId6"/>
    <hyperlink xmlns:r="http://schemas.openxmlformats.org/officeDocument/2006/relationships" ref="A31" r:id="rId7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F28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B5" sqref="B5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 ht="27" customHeight="1">
      <c r="A1" s="1" t="inlineStr">
        <is>
          <t>Assumptions_and_Inputs | Centralized scenario drivers</t>
        </is>
      </c>
    </row>
    <row r="2">
      <c r="A2" s="2">
        <f>IF(Model_Checks!$B$2=0,"ALL CHECKS PASSED","MODEL CHECKS FAILED")</f>
        <v/>
      </c>
    </row>
    <row r="3">
      <c r="A3" s="3" t="inlineStr">
        <is>
          <t>Amok Equipment AS | NOK unless stated | Generated 2026-10-10 | Version 1.0</t>
        </is>
      </c>
    </row>
    <row r="4">
      <c r="A4" t="inlineStr">
        <is>
          <t>Active scenario</t>
        </is>
      </c>
      <c r="B4" s="13" t="inlineStr">
        <is>
          <t>Base Case</t>
        </is>
      </c>
    </row>
    <row r="5">
      <c r="A5" s="14" t="inlineStr">
        <is>
          <t>Driver (forecast assumption)</t>
        </is>
      </c>
      <c r="B5" s="14" t="inlineStr">
        <is>
          <t>Base Case</t>
        </is>
      </c>
      <c r="C5" s="14" t="inlineStr">
        <is>
          <t>Bull Case</t>
        </is>
      </c>
      <c r="D5" s="14" t="inlineStr">
        <is>
          <t>Bear Case</t>
        </is>
      </c>
      <c r="E5" s="14" t="inlineStr">
        <is>
          <t>Severe Stress</t>
        </is>
      </c>
      <c r="F5" s="14" t="inlineStr">
        <is>
          <t>Active assumption</t>
        </is>
      </c>
    </row>
    <row r="6">
      <c r="A6" s="7" t="inlineStr">
        <is>
          <t>Annual volume growth</t>
        </is>
      </c>
      <c r="B6" s="15" t="n">
        <v>0.02</v>
      </c>
      <c r="C6" s="15" t="n">
        <v>0.1</v>
      </c>
      <c r="D6" s="15" t="n">
        <v>-0.04</v>
      </c>
      <c r="E6" s="15" t="n">
        <v>-0.15</v>
      </c>
      <c r="F6" s="9">
        <f>IFERROR(INDEX($B6:$E6,1,MATCH($B$4,$B$5:$E$5,0)),0)</f>
        <v/>
      </c>
    </row>
    <row r="7">
      <c r="A7" s="7" t="inlineStr">
        <is>
          <t>Annual price realization growth</t>
        </is>
      </c>
      <c r="B7" s="15" t="n">
        <v>0.02</v>
      </c>
      <c r="C7" s="15" t="n">
        <v>0.03</v>
      </c>
      <c r="D7" s="15" t="n">
        <v>0.01</v>
      </c>
      <c r="E7" s="15" t="n">
        <v>-0.02</v>
      </c>
      <c r="F7" s="9">
        <f>IFERROR(INDEX($B7:$E7,1,MATCH($B$4,$B$5:$E$5,0)),0)</f>
        <v/>
      </c>
    </row>
    <row r="8">
      <c r="A8" s="7" t="inlineStr">
        <is>
          <t>Non-personnel operating costs / revenue</t>
        </is>
      </c>
      <c r="B8" s="15" t="n">
        <v>0.7</v>
      </c>
      <c r="C8" s="15" t="n">
        <v>0.68</v>
      </c>
      <c r="D8" s="15" t="n">
        <v>0.83</v>
      </c>
      <c r="E8" s="15" t="n">
        <v>0.9</v>
      </c>
      <c r="F8" s="9">
        <f>IFERROR(INDEX($B8:$E8,1,MATCH($B$4,$B$5:$E$5,0)),0)</f>
        <v/>
      </c>
    </row>
    <row r="9">
      <c r="A9" s="7" t="inlineStr">
        <is>
          <t>Annual wage inflation</t>
        </is>
      </c>
      <c r="B9" s="15" t="n">
        <v>0.035</v>
      </c>
      <c r="C9" s="15" t="n">
        <v>0.03</v>
      </c>
      <c r="D9" s="15" t="n">
        <v>0.06</v>
      </c>
      <c r="E9" s="15" t="n">
        <v>0.08</v>
      </c>
      <c r="F9" s="9">
        <f>IFERROR(INDEX($B9:$E9,1,MATCH($B$4,$B$5:$E$5,0)),0)</f>
        <v/>
      </c>
    </row>
    <row r="10">
      <c r="A10" s="7" t="inlineStr">
        <is>
          <t>Accounts receivable days (DSO)</t>
        </is>
      </c>
      <c r="B10" s="16" t="n">
        <v>43</v>
      </c>
      <c r="C10" s="16" t="n">
        <v>38</v>
      </c>
      <c r="D10" s="16" t="n">
        <v>50</v>
      </c>
      <c r="E10" s="16" t="n">
        <v>60</v>
      </c>
      <c r="F10" s="17">
        <f>IFERROR(INDEX($B10:$E10,1,MATCH($B$4,$B$5:$E$5,0)),0)</f>
        <v/>
      </c>
    </row>
    <row r="11">
      <c r="A11" s="7" t="inlineStr">
        <is>
          <t>Inventory / other operating assets days (DIO)</t>
        </is>
      </c>
      <c r="B11" s="16" t="n">
        <v>325</v>
      </c>
      <c r="C11" s="16" t="n">
        <v>300</v>
      </c>
      <c r="D11" s="16" t="n">
        <v>360</v>
      </c>
      <c r="E11" s="16" t="n">
        <v>400</v>
      </c>
      <c r="F11" s="17">
        <f>IFERROR(INDEX($B11:$E11,1,MATCH($B$4,$B$5:$E$5,0)),0)</f>
        <v/>
      </c>
    </row>
    <row r="12">
      <c r="A12" s="7" t="inlineStr">
        <is>
          <t>Accounts payable days (DPO)</t>
        </is>
      </c>
      <c r="B12" s="16" t="n">
        <v>65</v>
      </c>
      <c r="C12" s="16" t="n">
        <v>70</v>
      </c>
      <c r="D12" s="16" t="n">
        <v>60</v>
      </c>
      <c r="E12" s="16" t="n">
        <v>50</v>
      </c>
      <c r="F12" s="17">
        <f>IFERROR(INDEX($B12:$E12,1,MATCH($B$4,$B$5:$E$5,0)),0)</f>
        <v/>
      </c>
    </row>
    <row r="13">
      <c r="A13" s="7" t="inlineStr">
        <is>
          <t>Capital expenditure / revenue</t>
        </is>
      </c>
      <c r="B13" s="15" t="n">
        <v>0.02</v>
      </c>
      <c r="C13" s="15" t="n">
        <v>0.025</v>
      </c>
      <c r="D13" s="15" t="n">
        <v>0.015</v>
      </c>
      <c r="E13" s="15" t="n">
        <v>0.01</v>
      </c>
      <c r="F13" s="9">
        <f>IFERROR(INDEX($B13:$E13,1,MATCH($B$4,$B$5:$E$5,0)),0)</f>
        <v/>
      </c>
    </row>
    <row r="14">
      <c r="A14" s="7" t="inlineStr">
        <is>
          <t>Depreciation rate on opening net PP&amp;E + half-year CapEx</t>
        </is>
      </c>
      <c r="B14" s="15" t="n">
        <v>0.15</v>
      </c>
      <c r="C14" s="15" t="n">
        <v>0.15</v>
      </c>
      <c r="D14" s="15" t="n">
        <v>0.18</v>
      </c>
      <c r="E14" s="15" t="n">
        <v>0.2</v>
      </c>
      <c r="F14" s="9">
        <f>IFERROR(INDEX($B14:$E14,1,MATCH($B$4,$B$5:$E$5,0)),0)</f>
        <v/>
      </c>
    </row>
    <row r="15">
      <c r="A15" s="7" t="inlineStr">
        <is>
          <t>Cash interest yield</t>
        </is>
      </c>
      <c r="B15" s="15" t="n">
        <v>0.025</v>
      </c>
      <c r="C15" s="15" t="n">
        <v>0.03</v>
      </c>
      <c r="D15" s="15" t="n">
        <v>0.02</v>
      </c>
      <c r="E15" s="15" t="n">
        <v>0.015</v>
      </c>
      <c r="F15" s="9">
        <f>IFERROR(INDEX($B15:$E15,1,MATCH($B$4,$B$5:$E$5,0)),0)</f>
        <v/>
      </c>
    </row>
    <row r="16">
      <c r="A16" s="7" t="inlineStr">
        <is>
          <t>Revolver interest rate</t>
        </is>
      </c>
      <c r="B16" s="15" t="n">
        <v>0.07000000000000001</v>
      </c>
      <c r="C16" s="15" t="n">
        <v>0.07000000000000001</v>
      </c>
      <c r="D16" s="15" t="n">
        <v>0.09</v>
      </c>
      <c r="E16" s="15" t="n">
        <v>0.12</v>
      </c>
      <c r="F16" s="9">
        <f>IFERROR(INDEX($B16:$E16,1,MATCH($B$4,$B$5:$E$5,0)),0)</f>
        <v/>
      </c>
    </row>
    <row r="17">
      <c r="A17" s="7" t="inlineStr">
        <is>
          <t>Cash tax rate (no loss-carryforward benefit)</t>
        </is>
      </c>
      <c r="B17" s="15" t="n">
        <v>0.22</v>
      </c>
      <c r="C17" s="15" t="n">
        <v>0.22</v>
      </c>
      <c r="D17" s="15" t="n">
        <v>0.22</v>
      </c>
      <c r="E17" s="15" t="n">
        <v>0.22</v>
      </c>
      <c r="F17" s="9">
        <f>IFERROR(INDEX($B17:$E17,1,MATCH($B$4,$B$5:$E$5,0)),0)</f>
        <v/>
      </c>
    </row>
    <row r="18">
      <c r="A18" s="7" t="inlineStr">
        <is>
          <t>Dividend payout ratio of positive net income</t>
        </is>
      </c>
      <c r="B18" s="15" t="n">
        <v>0</v>
      </c>
      <c r="C18" s="15" t="n">
        <v>0</v>
      </c>
      <c r="D18" s="15" t="n">
        <v>0</v>
      </c>
      <c r="E18" s="15" t="n">
        <v>0</v>
      </c>
      <c r="F18" s="9">
        <f>IFERROR(INDEX($B18:$E18,1,MATCH($B$4,$B$5:$E$5,0)),0)</f>
        <v/>
      </c>
    </row>
    <row r="19">
      <c r="A19" s="7" t="inlineStr">
        <is>
          <t>Minimum cash target (NOK)</t>
        </is>
      </c>
      <c r="B19" s="18" t="n">
        <v>1000000</v>
      </c>
      <c r="C19" s="18" t="n">
        <v>1000000</v>
      </c>
      <c r="D19" s="18" t="n">
        <v>1000000</v>
      </c>
      <c r="E19" s="18" t="n">
        <v>1000000</v>
      </c>
      <c r="F19" s="8">
        <f>IFERROR(INDEX($B19:$E19,1,MATCH($B$4,$B$5:$E$5,0)),0)</f>
        <v/>
      </c>
    </row>
    <row r="20">
      <c r="A20" s="7" t="inlineStr">
        <is>
          <t>Revolver commitment (NOK)</t>
        </is>
      </c>
      <c r="B20" s="18" t="n">
        <v>5000000</v>
      </c>
      <c r="C20" s="18" t="n">
        <v>5000000</v>
      </c>
      <c r="D20" s="18" t="n">
        <v>5000000</v>
      </c>
      <c r="E20" s="18" t="n">
        <v>5000000</v>
      </c>
      <c r="F20" s="8">
        <f>IFERROR(INDEX($B20:$E20,1,MATCH($B$4,$B$5:$E$5,0)),0)</f>
        <v/>
      </c>
    </row>
    <row r="21">
      <c r="A21" s="7" t="inlineStr">
        <is>
          <t>Excess-cash debt repayment sweep</t>
        </is>
      </c>
      <c r="B21" s="15" t="n">
        <v>0.5</v>
      </c>
      <c r="C21" s="15" t="n">
        <v>0.5</v>
      </c>
      <c r="D21" s="15" t="n">
        <v>0.5</v>
      </c>
      <c r="E21" s="15" t="n">
        <v>0.5</v>
      </c>
      <c r="F21" s="9">
        <f>IFERROR(INDEX($B21:$E21,1,MATCH($B$4,$B$5:$E$5,0)),0)</f>
        <v/>
      </c>
    </row>
    <row r="22">
      <c r="A22" s="7" t="inlineStr">
        <is>
          <t>Illustrative scenario probability</t>
        </is>
      </c>
      <c r="B22" s="15" t="n">
        <v>0.55</v>
      </c>
      <c r="C22" s="15" t="n">
        <v>0.2</v>
      </c>
      <c r="D22" s="15" t="n">
        <v>0.2</v>
      </c>
      <c r="E22" s="15" t="n">
        <v>0.05</v>
      </c>
      <c r="F22" s="9">
        <f>IFERROR(INDEX($B22:$E22,1,MATCH($B$4,$B$5:$E$5,0)),0)</f>
        <v/>
      </c>
    </row>
    <row r="23"/>
    <row r="24">
      <c r="A24" s="7" t="inlineStr">
        <is>
          <t>Days per year (working capital)</t>
        </is>
      </c>
      <c r="B24" s="16" t="n">
        <v>365</v>
      </c>
    </row>
    <row r="25">
      <c r="A25" s="7" t="inlineStr">
        <is>
          <t>Model check tolerance (NOK)</t>
        </is>
      </c>
      <c r="B25" s="18" t="n">
        <v>1.01</v>
      </c>
    </row>
    <row r="26">
      <c r="A26" s="7" t="inlineStr">
        <is>
          <t>Forecast years</t>
        </is>
      </c>
      <c r="B26" s="19">
        <f>COUNT(Financial_Statements!$E$4:$I$4)</f>
        <v/>
      </c>
    </row>
    <row r="27">
      <c r="A27" s="7" t="inlineStr">
        <is>
          <t>Model convention</t>
        </is>
      </c>
      <c r="B27" s="12" t="inlineStr">
        <is>
          <t>Annual forecast; interest uses opening cash/debt to prevent circularity. No unmanaged circular references.</t>
        </is>
      </c>
    </row>
    <row r="28">
      <c r="A28" s="7" t="inlineStr">
        <is>
          <t>Actual / source convention</t>
        </is>
      </c>
      <c r="B28" s="12" t="inlineStr">
        <is>
          <t>Blue cells are hardcoded inputs; green-font cells are formulas. Forecast drivers are scenarios, not company guidance.</t>
        </is>
      </c>
    </row>
  </sheetData>
  <mergeCells count="5">
    <mergeCell ref="A2:F2"/>
    <mergeCell ref="A1:F1"/>
    <mergeCell ref="B28:F28"/>
    <mergeCell ref="A3:F3"/>
    <mergeCell ref="B27:F27"/>
  </mergeCells>
  <conditionalFormatting sqref="A2:F2">
    <cfRule type="expression" priority="1" dxfId="0">
      <formula>Model_Checks!$B$2=0</formula>
    </cfRule>
    <cfRule type="expression" priority="2" dxfId="1">
      <formula>Model_Checks!$B$2&gt;0</formula>
    </cfRule>
  </conditionalFormatting>
  <dataValidations count="1">
    <dataValidation sqref="B4" showDropDown="0" showInputMessage="0" showErrorMessage="0" allowBlank="0" errorTitle="Invalid scenario" error="Select a scenario from the list." promptTitle="Active scenario" prompt="Choose the case applied to the integrated forecast." type="list">
      <formula1>=ScenarioList</formula1>
    </dataValidation>
  </dataValidations>
  <printOptions horizontalCentered="1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I59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B5" sqref="B5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7" customHeight="1">
      <c r="A1" s="1" t="inlineStr">
        <is>
          <t>Financial_Statements | Integrated income statement, balance sheet, and cash flow</t>
        </is>
      </c>
    </row>
    <row r="2">
      <c r="A2" s="2">
        <f>IF(Model_Checks!$B$2=0,"ALL CHECKS PASSED","MODEL CHECKS FAILED")</f>
        <v/>
      </c>
    </row>
    <row r="3">
      <c r="A3" s="3" t="inlineStr">
        <is>
          <t>Amok Equipment AS | NOK unless stated | Generated 2026-10-10 | Version 1.0</t>
        </is>
      </c>
    </row>
    <row r="4">
      <c r="A4" s="20" t="inlineStr">
        <is>
          <t>Fiscal year</t>
        </is>
      </c>
      <c r="B4" s="21" t="n">
        <v>2023</v>
      </c>
      <c r="C4" s="21" t="n">
        <v>2024</v>
      </c>
      <c r="D4" s="21" t="n">
        <v>2025</v>
      </c>
      <c r="E4" s="22" t="n">
        <v>2026</v>
      </c>
      <c r="F4" s="22" t="n">
        <v>2027</v>
      </c>
      <c r="G4" s="22" t="n">
        <v>2028</v>
      </c>
      <c r="H4" s="22" t="n">
        <v>2029</v>
      </c>
      <c r="I4" s="22" t="n">
        <v>2030</v>
      </c>
    </row>
    <row r="5">
      <c r="A5" s="23" t="inlineStr">
        <is>
          <t>Income statement (NOK, except percentages)</t>
        </is>
      </c>
    </row>
    <row r="6">
      <c r="A6" s="7" t="inlineStr">
        <is>
          <t>Revenue</t>
        </is>
      </c>
      <c r="B6" s="8">
        <f>Historical_Data!$B$5</f>
        <v/>
      </c>
      <c r="C6" s="8">
        <f>Historical_Data!$C$5</f>
        <v/>
      </c>
      <c r="D6" s="8">
        <f>Historical_Data!$D$5</f>
        <v/>
      </c>
      <c r="E6" s="8">
        <f>D6*(1+Assumptions_and_Inputs!$F$6)*(1+Assumptions_and_Inputs!$F$7)</f>
        <v/>
      </c>
      <c r="F6" s="8">
        <f>E6*(1+Assumptions_and_Inputs!$F$6)*(1+Assumptions_and_Inputs!$F$7)</f>
        <v/>
      </c>
      <c r="G6" s="8">
        <f>F6*(1+Assumptions_and_Inputs!$F$6)*(1+Assumptions_and_Inputs!$F$7)</f>
        <v/>
      </c>
      <c r="H6" s="8">
        <f>G6*(1+Assumptions_and_Inputs!$F$6)*(1+Assumptions_and_Inputs!$F$7)</f>
        <v/>
      </c>
      <c r="I6" s="8">
        <f>H6*(1+Assumptions_and_Inputs!$F$6)*(1+Assumptions_and_Inputs!$F$7)</f>
        <v/>
      </c>
    </row>
    <row r="7">
      <c r="A7" s="7" t="inlineStr">
        <is>
          <t>Revenue growth</t>
        </is>
      </c>
      <c r="B7" s="9">
        <f>""</f>
        <v/>
      </c>
      <c r="C7" s="9">
        <f>IFERROR(C6/B6-1,0)</f>
        <v/>
      </c>
      <c r="D7" s="9">
        <f>IFERROR(D6/C6-1,0)</f>
        <v/>
      </c>
      <c r="E7" s="9">
        <f>IFERROR(E6/D6-1,0)</f>
        <v/>
      </c>
      <c r="F7" s="9">
        <f>IFERROR(F6/E6-1,0)</f>
        <v/>
      </c>
      <c r="G7" s="9">
        <f>IFERROR(G6/F6-1,0)</f>
        <v/>
      </c>
      <c r="H7" s="9">
        <f>IFERROR(H6/G6-1,0)</f>
        <v/>
      </c>
      <c r="I7" s="9">
        <f>IFERROR(I6/H6-1,0)</f>
        <v/>
      </c>
    </row>
    <row r="8">
      <c r="A8" s="7" t="inlineStr">
        <is>
          <t>Non-personnel operating expenses (proxy)</t>
        </is>
      </c>
      <c r="B8" s="8">
        <f>Historical_Data!$B$6-Historical_Data!$B$7</f>
        <v/>
      </c>
      <c r="C8" s="8">
        <f>Historical_Data!$C$6-Historical_Data!$C$7</f>
        <v/>
      </c>
      <c r="D8" s="8">
        <f>Historical_Data!$D$6-Historical_Data!$D$7</f>
        <v/>
      </c>
      <c r="E8" s="8">
        <f>E6*Assumptions_and_Inputs!$F$8</f>
        <v/>
      </c>
      <c r="F8" s="8">
        <f>F6*Assumptions_and_Inputs!$F$8</f>
        <v/>
      </c>
      <c r="G8" s="8">
        <f>G6*Assumptions_and_Inputs!$F$8</f>
        <v/>
      </c>
      <c r="H8" s="8">
        <f>H6*Assumptions_and_Inputs!$F$8</f>
        <v/>
      </c>
      <c r="I8" s="8">
        <f>I6*Assumptions_and_Inputs!$F$8</f>
        <v/>
      </c>
    </row>
    <row r="9">
      <c r="A9" s="7" t="inlineStr">
        <is>
          <t>Pre-personnel operating contribution</t>
        </is>
      </c>
      <c r="B9" s="8">
        <f>B6-B8</f>
        <v/>
      </c>
      <c r="C9" s="8">
        <f>C6-C8</f>
        <v/>
      </c>
      <c r="D9" s="8">
        <f>D6-D8</f>
        <v/>
      </c>
      <c r="E9" s="8">
        <f>E6-E8</f>
        <v/>
      </c>
      <c r="F9" s="8">
        <f>F6-F8</f>
        <v/>
      </c>
      <c r="G9" s="8">
        <f>G6-G8</f>
        <v/>
      </c>
      <c r="H9" s="8">
        <f>H6-H8</f>
        <v/>
      </c>
      <c r="I9" s="8">
        <f>I6-I8</f>
        <v/>
      </c>
    </row>
    <row r="10">
      <c r="A10" s="7" t="inlineStr">
        <is>
          <t>Pre-personnel contribution margin</t>
        </is>
      </c>
      <c r="B10" s="9">
        <f>IFERROR(B9/B6,0)</f>
        <v/>
      </c>
      <c r="C10" s="9">
        <f>IFERROR(C9/C6,0)</f>
        <v/>
      </c>
      <c r="D10" s="9">
        <f>IFERROR(D9/D6,0)</f>
        <v/>
      </c>
      <c r="E10" s="9">
        <f>IFERROR(E9/E6,0)</f>
        <v/>
      </c>
      <c r="F10" s="9">
        <f>IFERROR(F9/F6,0)</f>
        <v/>
      </c>
      <c r="G10" s="9">
        <f>IFERROR(G9/G6,0)</f>
        <v/>
      </c>
      <c r="H10" s="9">
        <f>IFERROR(H9/H6,0)</f>
        <v/>
      </c>
      <c r="I10" s="9">
        <f>IFERROR(I9/I6,0)</f>
        <v/>
      </c>
    </row>
    <row r="11">
      <c r="A11" s="7" t="inlineStr">
        <is>
          <t>Personnel expenses</t>
        </is>
      </c>
      <c r="B11" s="8">
        <f>Historical_Data!$B$7</f>
        <v/>
      </c>
      <c r="C11" s="8">
        <f>Historical_Data!$C$7</f>
        <v/>
      </c>
      <c r="D11" s="8">
        <f>Historical_Data!$D$7</f>
        <v/>
      </c>
      <c r="E11" s="8">
        <f>D11*(1+Assumptions_and_Inputs!$F$6)*(1+Assumptions_and_Inputs!$F$9)</f>
        <v/>
      </c>
      <c r="F11" s="8">
        <f>E11*(1+Assumptions_and_Inputs!$F$6)*(1+Assumptions_and_Inputs!$F$9)</f>
        <v/>
      </c>
      <c r="G11" s="8">
        <f>F11*(1+Assumptions_and_Inputs!$F$6)*(1+Assumptions_and_Inputs!$F$9)</f>
        <v/>
      </c>
      <c r="H11" s="8">
        <f>G11*(1+Assumptions_and_Inputs!$F$6)*(1+Assumptions_and_Inputs!$F$9)</f>
        <v/>
      </c>
      <c r="I11" s="8">
        <f>H11*(1+Assumptions_and_Inputs!$F$6)*(1+Assumptions_and_Inputs!$F$9)</f>
        <v/>
      </c>
    </row>
    <row r="12">
      <c r="A12" s="7" t="inlineStr">
        <is>
          <t>EBITDA</t>
        </is>
      </c>
      <c r="B12" s="8">
        <f>B15+B14</f>
        <v/>
      </c>
      <c r="C12" s="8">
        <f>C15+C14</f>
        <v/>
      </c>
      <c r="D12" s="8">
        <f>D15+D14</f>
        <v/>
      </c>
      <c r="E12" s="8">
        <f>E9-E11</f>
        <v/>
      </c>
      <c r="F12" s="8">
        <f>F9-F11</f>
        <v/>
      </c>
      <c r="G12" s="8">
        <f>G9-G11</f>
        <v/>
      </c>
      <c r="H12" s="8">
        <f>H9-H11</f>
        <v/>
      </c>
      <c r="I12" s="8">
        <f>I9-I11</f>
        <v/>
      </c>
    </row>
    <row r="13">
      <c r="A13" s="7" t="inlineStr">
        <is>
          <t>EBITDA margin</t>
        </is>
      </c>
      <c r="B13" s="9">
        <f>IFERROR(B12/B6,0)</f>
        <v/>
      </c>
      <c r="C13" s="9">
        <f>IFERROR(C12/C6,0)</f>
        <v/>
      </c>
      <c r="D13" s="9">
        <f>IFERROR(D12/D6,0)</f>
        <v/>
      </c>
      <c r="E13" s="9">
        <f>IFERROR(E12/E6,0)</f>
        <v/>
      </c>
      <c r="F13" s="9">
        <f>IFERROR(F12/F6,0)</f>
        <v/>
      </c>
      <c r="G13" s="9">
        <f>IFERROR(G12/G6,0)</f>
        <v/>
      </c>
      <c r="H13" s="9">
        <f>IFERROR(H12/H6,0)</f>
        <v/>
      </c>
      <c r="I13" s="9">
        <f>IFERROR(I12/I6,0)</f>
        <v/>
      </c>
    </row>
    <row r="14">
      <c r="A14" s="7" t="inlineStr">
        <is>
          <t>Depreciation and amortization</t>
        </is>
      </c>
      <c r="B14" s="8">
        <f>Historical_Data!B26</f>
        <v/>
      </c>
      <c r="C14" s="8">
        <f>Historical_Data!C26</f>
        <v/>
      </c>
      <c r="D14" s="8">
        <f>Historical_Data!D26</f>
        <v/>
      </c>
      <c r="E14" s="8">
        <f>Supporting_Schedules!E17</f>
        <v/>
      </c>
      <c r="F14" s="8">
        <f>Supporting_Schedules!F17</f>
        <v/>
      </c>
      <c r="G14" s="8">
        <f>Supporting_Schedules!G17</f>
        <v/>
      </c>
      <c r="H14" s="8">
        <f>Supporting_Schedules!H17</f>
        <v/>
      </c>
      <c r="I14" s="8">
        <f>Supporting_Schedules!I17</f>
        <v/>
      </c>
    </row>
    <row r="15">
      <c r="A15" s="7" t="inlineStr">
        <is>
          <t>Operating profit (EBIT)</t>
        </is>
      </c>
      <c r="B15" s="8">
        <f>Historical_Data!$B$8</f>
        <v/>
      </c>
      <c r="C15" s="8">
        <f>Historical_Data!$C$8</f>
        <v/>
      </c>
      <c r="D15" s="8">
        <f>Historical_Data!$D$8</f>
        <v/>
      </c>
      <c r="E15" s="8">
        <f>E12-E14</f>
        <v/>
      </c>
      <c r="F15" s="8">
        <f>F12-F14</f>
        <v/>
      </c>
      <c r="G15" s="8">
        <f>G12-G14</f>
        <v/>
      </c>
      <c r="H15" s="8">
        <f>H12-H14</f>
        <v/>
      </c>
      <c r="I15" s="8">
        <f>I12-I14</f>
        <v/>
      </c>
    </row>
    <row r="16">
      <c r="A16" s="7" t="inlineStr">
        <is>
          <t>EBIT margin</t>
        </is>
      </c>
      <c r="B16" s="9">
        <f>IFERROR(B15/B6,0)</f>
        <v/>
      </c>
      <c r="C16" s="9">
        <f>IFERROR(C15/C6,0)</f>
        <v/>
      </c>
      <c r="D16" s="9">
        <f>IFERROR(D15/D6,0)</f>
        <v/>
      </c>
      <c r="E16" s="9">
        <f>IFERROR(E15/E6,0)</f>
        <v/>
      </c>
      <c r="F16" s="9">
        <f>IFERROR(F15/F6,0)</f>
        <v/>
      </c>
      <c r="G16" s="9">
        <f>IFERROR(G15/G6,0)</f>
        <v/>
      </c>
      <c r="H16" s="9">
        <f>IFERROR(H15/H6,0)</f>
        <v/>
      </c>
      <c r="I16" s="9">
        <f>IFERROR(I15/I6,0)</f>
        <v/>
      </c>
    </row>
    <row r="17">
      <c r="A17" s="7" t="inlineStr">
        <is>
          <t>Net interest income / (expense)</t>
        </is>
      </c>
      <c r="B17" s="8">
        <f>Historical_Data!$B$9</f>
        <v/>
      </c>
      <c r="C17" s="8">
        <f>Historical_Data!$C$9</f>
        <v/>
      </c>
      <c r="D17" s="8">
        <f>Historical_Data!$D$9</f>
        <v/>
      </c>
      <c r="E17" s="8">
        <f>Supporting_Schedules!E25-Supporting_Schedules!E26</f>
        <v/>
      </c>
      <c r="F17" s="8">
        <f>Supporting_Schedules!F25-Supporting_Schedules!F26</f>
        <v/>
      </c>
      <c r="G17" s="8">
        <f>Supporting_Schedules!G25-Supporting_Schedules!G26</f>
        <v/>
      </c>
      <c r="H17" s="8">
        <f>Supporting_Schedules!H25-Supporting_Schedules!H26</f>
        <v/>
      </c>
      <c r="I17" s="8">
        <f>Supporting_Schedules!I25-Supporting_Schedules!I26</f>
        <v/>
      </c>
    </row>
    <row r="18">
      <c r="A18" s="7" t="inlineStr">
        <is>
          <t>Earnings before tax</t>
        </is>
      </c>
      <c r="B18" s="8">
        <f>B15+B17</f>
        <v/>
      </c>
      <c r="C18" s="8">
        <f>C15+C17</f>
        <v/>
      </c>
      <c r="D18" s="8">
        <f>D15+D17</f>
        <v/>
      </c>
      <c r="E18" s="8">
        <f>E15+E17</f>
        <v/>
      </c>
      <c r="F18" s="8">
        <f>F15+F17</f>
        <v/>
      </c>
      <c r="G18" s="8">
        <f>G15+G17</f>
        <v/>
      </c>
      <c r="H18" s="8">
        <f>H15+H17</f>
        <v/>
      </c>
      <c r="I18" s="8">
        <f>I15+I17</f>
        <v/>
      </c>
    </row>
    <row r="19">
      <c r="A19" s="7" t="inlineStr">
        <is>
          <t>Income tax expense / (benefit)</t>
        </is>
      </c>
      <c r="B19" s="8">
        <f>Historical_Data!$B$10</f>
        <v/>
      </c>
      <c r="C19" s="8">
        <f>Historical_Data!$C$10</f>
        <v/>
      </c>
      <c r="D19" s="8">
        <f>Historical_Data!$D$10</f>
        <v/>
      </c>
      <c r="E19" s="8">
        <f>MAX(0,E18)*Assumptions_and_Inputs!$F$17</f>
        <v/>
      </c>
      <c r="F19" s="8">
        <f>MAX(0,F18)*Assumptions_and_Inputs!$F$17</f>
        <v/>
      </c>
      <c r="G19" s="8">
        <f>MAX(0,G18)*Assumptions_and_Inputs!$F$17</f>
        <v/>
      </c>
      <c r="H19" s="8">
        <f>MAX(0,H18)*Assumptions_and_Inputs!$F$17</f>
        <v/>
      </c>
      <c r="I19" s="8">
        <f>MAX(0,I18)*Assumptions_and_Inputs!$F$17</f>
        <v/>
      </c>
    </row>
    <row r="20">
      <c r="A20" s="7" t="inlineStr">
        <is>
          <t>Net income</t>
        </is>
      </c>
      <c r="B20" s="8">
        <f>Historical_Data!$B$11</f>
        <v/>
      </c>
      <c r="C20" s="8">
        <f>Historical_Data!$C$11</f>
        <v/>
      </c>
      <c r="D20" s="8">
        <f>Historical_Data!$D$11</f>
        <v/>
      </c>
      <c r="E20" s="8">
        <f>E18-E19</f>
        <v/>
      </c>
      <c r="F20" s="8">
        <f>F18-F19</f>
        <v/>
      </c>
      <c r="G20" s="8">
        <f>G18-G19</f>
        <v/>
      </c>
      <c r="H20" s="8">
        <f>H18-H19</f>
        <v/>
      </c>
      <c r="I20" s="8">
        <f>I18-I19</f>
        <v/>
      </c>
    </row>
    <row r="21">
      <c r="A21" s="7" t="inlineStr">
        <is>
          <t>Net income margin</t>
        </is>
      </c>
      <c r="B21" s="9">
        <f>IFERROR(B20/B6,0)</f>
        <v/>
      </c>
      <c r="C21" s="9">
        <f>IFERROR(C20/C6,0)</f>
        <v/>
      </c>
      <c r="D21" s="9">
        <f>IFERROR(D20/D6,0)</f>
        <v/>
      </c>
      <c r="E21" s="9">
        <f>IFERROR(E20/E6,0)</f>
        <v/>
      </c>
      <c r="F21" s="9">
        <f>IFERROR(F20/F6,0)</f>
        <v/>
      </c>
      <c r="G21" s="9">
        <f>IFERROR(G20/G6,0)</f>
        <v/>
      </c>
      <c r="H21" s="9">
        <f>IFERROR(H20/H6,0)</f>
        <v/>
      </c>
      <c r="I21" s="9">
        <f>IFERROR(I20/I6,0)</f>
        <v/>
      </c>
    </row>
    <row r="22"/>
    <row r="23">
      <c r="A23" s="5" t="inlineStr">
        <is>
          <t>Balance sheet (NOK)</t>
        </is>
      </c>
    </row>
    <row r="24">
      <c r="A24" s="7" t="inlineStr">
        <is>
          <t>Net PP&amp;E</t>
        </is>
      </c>
      <c r="B24" s="8">
        <f>Historical_Data!B12</f>
        <v/>
      </c>
      <c r="C24" s="8">
        <f>Historical_Data!C12</f>
        <v/>
      </c>
      <c r="D24" s="8">
        <f>Historical_Data!D12</f>
        <v/>
      </c>
      <c r="E24" s="8">
        <f>Supporting_Schedules!E18</f>
        <v/>
      </c>
      <c r="F24" s="8">
        <f>Supporting_Schedules!F18</f>
        <v/>
      </c>
      <c r="G24" s="8">
        <f>Supporting_Schedules!G18</f>
        <v/>
      </c>
      <c r="H24" s="8">
        <f>Supporting_Schedules!H18</f>
        <v/>
      </c>
      <c r="I24" s="8">
        <f>Supporting_Schedules!I18</f>
        <v/>
      </c>
    </row>
    <row r="25">
      <c r="A25" s="7" t="inlineStr">
        <is>
          <t>Cash and cash equivalents</t>
        </is>
      </c>
      <c r="B25" s="8">
        <f>Historical_Data!B16</f>
        <v/>
      </c>
      <c r="C25" s="8">
        <f>Historical_Data!C16</f>
        <v/>
      </c>
      <c r="D25" s="8">
        <f>Historical_Data!D16</f>
        <v/>
      </c>
      <c r="E25" s="8">
        <f>E55</f>
        <v/>
      </c>
      <c r="F25" s="8">
        <f>F55</f>
        <v/>
      </c>
      <c r="G25" s="8">
        <f>G55</f>
        <v/>
      </c>
      <c r="H25" s="8">
        <f>H55</f>
        <v/>
      </c>
      <c r="I25" s="8">
        <f>I55</f>
        <v/>
      </c>
    </row>
    <row r="26">
      <c r="A26" s="7" t="inlineStr">
        <is>
          <t>Accounts receivable</t>
        </is>
      </c>
      <c r="B26" s="8">
        <f>Historical_Data!B15</f>
        <v/>
      </c>
      <c r="C26" s="8">
        <f>Historical_Data!C15</f>
        <v/>
      </c>
      <c r="D26" s="8">
        <f>Historical_Data!D15</f>
        <v/>
      </c>
      <c r="E26" s="8">
        <f>Supporting_Schedules!E7</f>
        <v/>
      </c>
      <c r="F26" s="8">
        <f>Supporting_Schedules!F7</f>
        <v/>
      </c>
      <c r="G26" s="8">
        <f>Supporting_Schedules!G7</f>
        <v/>
      </c>
      <c r="H26" s="8">
        <f>Supporting_Schedules!H7</f>
        <v/>
      </c>
      <c r="I26" s="8">
        <f>Supporting_Schedules!I7</f>
        <v/>
      </c>
    </row>
    <row r="27">
      <c r="A27" s="7" t="inlineStr">
        <is>
          <t>Inventory and other operating current assets</t>
        </is>
      </c>
      <c r="B27" s="8">
        <f>Historical_Data!B13-Historical_Data!B15-Historical_Data!B16</f>
        <v/>
      </c>
      <c r="C27" s="8">
        <f>Historical_Data!C13-Historical_Data!C15-Historical_Data!C16</f>
        <v/>
      </c>
      <c r="D27" s="8">
        <f>Historical_Data!D13-Historical_Data!D15-Historical_Data!D16</f>
        <v/>
      </c>
      <c r="E27" s="8">
        <f>Supporting_Schedules!E8</f>
        <v/>
      </c>
      <c r="F27" s="8">
        <f>Supporting_Schedules!F8</f>
        <v/>
      </c>
      <c r="G27" s="8">
        <f>Supporting_Schedules!G8</f>
        <v/>
      </c>
      <c r="H27" s="8">
        <f>Supporting_Schedules!H8</f>
        <v/>
      </c>
      <c r="I27" s="8">
        <f>Supporting_Schedules!I8</f>
        <v/>
      </c>
    </row>
    <row r="28">
      <c r="A28" s="7" t="inlineStr">
        <is>
          <t>Total current assets</t>
        </is>
      </c>
      <c r="B28" s="8">
        <f>SUM(B25:B27)</f>
        <v/>
      </c>
      <c r="C28" s="8">
        <f>SUM(C25:C27)</f>
        <v/>
      </c>
      <c r="D28" s="8">
        <f>SUM(D25:D27)</f>
        <v/>
      </c>
      <c r="E28" s="8">
        <f>SUM(E25:E27)</f>
        <v/>
      </c>
      <c r="F28" s="8">
        <f>SUM(F25:F27)</f>
        <v/>
      </c>
      <c r="G28" s="8">
        <f>SUM(G25:G27)</f>
        <v/>
      </c>
      <c r="H28" s="8">
        <f>SUM(H25:H27)</f>
        <v/>
      </c>
      <c r="I28" s="8">
        <f>SUM(I25:I27)</f>
        <v/>
      </c>
    </row>
    <row r="29">
      <c r="A29" s="7" t="inlineStr">
        <is>
          <t>Total assets</t>
        </is>
      </c>
      <c r="B29" s="8">
        <f>Historical_Data!B17</f>
        <v/>
      </c>
      <c r="C29" s="8">
        <f>Historical_Data!C17</f>
        <v/>
      </c>
      <c r="D29" s="8">
        <f>Historical_Data!D17</f>
        <v/>
      </c>
      <c r="E29" s="8">
        <f>E24+E28</f>
        <v/>
      </c>
      <c r="F29" s="8">
        <f>F24+F28</f>
        <v/>
      </c>
      <c r="G29" s="8">
        <f>G24+G28</f>
        <v/>
      </c>
      <c r="H29" s="8">
        <f>H24+H28</f>
        <v/>
      </c>
      <c r="I29" s="8">
        <f>I24+I28</f>
        <v/>
      </c>
    </row>
    <row r="30">
      <c r="A30" s="7" t="inlineStr">
        <is>
          <t>Accounts payable / other current liabilities</t>
        </is>
      </c>
      <c r="B30" s="8">
        <f>Historical_Data!B18</f>
        <v/>
      </c>
      <c r="C30" s="8">
        <f>Historical_Data!C18</f>
        <v/>
      </c>
      <c r="D30" s="8">
        <f>Historical_Data!D18</f>
        <v/>
      </c>
      <c r="E30" s="8">
        <f>Supporting_Schedules!E9</f>
        <v/>
      </c>
      <c r="F30" s="8">
        <f>Supporting_Schedules!F9</f>
        <v/>
      </c>
      <c r="G30" s="8">
        <f>Supporting_Schedules!G9</f>
        <v/>
      </c>
      <c r="H30" s="8">
        <f>Supporting_Schedules!H9</f>
        <v/>
      </c>
      <c r="I30" s="8">
        <f>Supporting_Schedules!I9</f>
        <v/>
      </c>
    </row>
    <row r="31">
      <c r="A31" s="7" t="inlineStr">
        <is>
          <t>Long-term debt / revolver</t>
        </is>
      </c>
      <c r="B31" s="8">
        <f>Historical_Data!B19</f>
        <v/>
      </c>
      <c r="C31" s="8">
        <f>Historical_Data!C19</f>
        <v/>
      </c>
      <c r="D31" s="8">
        <f>Historical_Data!D19</f>
        <v/>
      </c>
      <c r="E31" s="8">
        <f>Supporting_Schedules!E24</f>
        <v/>
      </c>
      <c r="F31" s="8">
        <f>Supporting_Schedules!F24</f>
        <v/>
      </c>
      <c r="G31" s="8">
        <f>Supporting_Schedules!G24</f>
        <v/>
      </c>
      <c r="H31" s="8">
        <f>Supporting_Schedules!H24</f>
        <v/>
      </c>
      <c r="I31" s="8">
        <f>Supporting_Schedules!I24</f>
        <v/>
      </c>
    </row>
    <row r="32">
      <c r="A32" s="7" t="inlineStr">
        <is>
          <t>Total liabilities</t>
        </is>
      </c>
      <c r="B32" s="8">
        <f>Historical_Data!B20</f>
        <v/>
      </c>
      <c r="C32" s="8">
        <f>Historical_Data!C20</f>
        <v/>
      </c>
      <c r="D32" s="8">
        <f>Historical_Data!D20</f>
        <v/>
      </c>
      <c r="E32" s="8">
        <f>SUM(E30:E31)</f>
        <v/>
      </c>
      <c r="F32" s="8">
        <f>SUM(F30:F31)</f>
        <v/>
      </c>
      <c r="G32" s="8">
        <f>SUM(G30:G31)</f>
        <v/>
      </c>
      <c r="H32" s="8">
        <f>SUM(H30:H31)</f>
        <v/>
      </c>
      <c r="I32" s="8">
        <f>SUM(I30:I31)</f>
        <v/>
      </c>
    </row>
    <row r="33">
      <c r="A33" s="7" t="inlineStr">
        <is>
          <t>Shareholders' equity</t>
        </is>
      </c>
      <c r="B33" s="8">
        <f>Historical_Data!B21</f>
        <v/>
      </c>
      <c r="C33" s="8">
        <f>Historical_Data!C21</f>
        <v/>
      </c>
      <c r="D33" s="8">
        <f>Historical_Data!D21</f>
        <v/>
      </c>
      <c r="E33" s="8">
        <f>Supporting_Schedules!E32</f>
        <v/>
      </c>
      <c r="F33" s="8">
        <f>Supporting_Schedules!F32</f>
        <v/>
      </c>
      <c r="G33" s="8">
        <f>Supporting_Schedules!G32</f>
        <v/>
      </c>
      <c r="H33" s="8">
        <f>Supporting_Schedules!H32</f>
        <v/>
      </c>
      <c r="I33" s="8">
        <f>Supporting_Schedules!I32</f>
        <v/>
      </c>
    </row>
    <row r="34">
      <c r="A34" s="7" t="inlineStr">
        <is>
          <t>Total liabilities and equity</t>
        </is>
      </c>
      <c r="B34" s="8">
        <f>SUM(B32:B33)</f>
        <v/>
      </c>
      <c r="C34" s="8">
        <f>SUM(C32:C33)</f>
        <v/>
      </c>
      <c r="D34" s="8">
        <f>SUM(D32:D33)</f>
        <v/>
      </c>
      <c r="E34" s="8">
        <f>SUM(E32:E33)</f>
        <v/>
      </c>
      <c r="F34" s="8">
        <f>SUM(F32:F33)</f>
        <v/>
      </c>
      <c r="G34" s="8">
        <f>SUM(G32:G33)</f>
        <v/>
      </c>
      <c r="H34" s="8">
        <f>SUM(H32:H33)</f>
        <v/>
      </c>
      <c r="I34" s="8">
        <f>SUM(I32:I33)</f>
        <v/>
      </c>
    </row>
    <row r="35">
      <c r="A35" s="7" t="inlineStr">
        <is>
          <t>Balance sheet check (assets less claims)</t>
        </is>
      </c>
      <c r="B35" s="8">
        <f>B29-B34</f>
        <v/>
      </c>
      <c r="C35" s="8">
        <f>C29-C34</f>
        <v/>
      </c>
      <c r="D35" s="8">
        <f>D29-D34</f>
        <v/>
      </c>
      <c r="E35" s="8">
        <f>E29-E34</f>
        <v/>
      </c>
      <c r="F35" s="8">
        <f>F29-F34</f>
        <v/>
      </c>
      <c r="G35" s="8">
        <f>G29-G34</f>
        <v/>
      </c>
      <c r="H35" s="8">
        <f>H29-H34</f>
        <v/>
      </c>
      <c r="I35" s="8">
        <f>I29-I34</f>
        <v/>
      </c>
    </row>
    <row r="36"/>
    <row r="37"/>
    <row r="38">
      <c r="A38" s="5" t="inlineStr">
        <is>
          <t>Cash flow statement (NOK)</t>
        </is>
      </c>
    </row>
    <row r="39">
      <c r="A39" s="7" t="inlineStr">
        <is>
          <t>Net income</t>
        </is>
      </c>
      <c r="B39" s="8">
        <f>""</f>
        <v/>
      </c>
      <c r="C39" s="8">
        <f>Historical_Data!C25</f>
        <v/>
      </c>
      <c r="D39" s="8">
        <f>Historical_Data!D25</f>
        <v/>
      </c>
      <c r="E39" s="8">
        <f>E20</f>
        <v/>
      </c>
      <c r="F39" s="8">
        <f>F20</f>
        <v/>
      </c>
      <c r="G39" s="8">
        <f>G20</f>
        <v/>
      </c>
      <c r="H39" s="8">
        <f>H20</f>
        <v/>
      </c>
      <c r="I39" s="8">
        <f>I20</f>
        <v/>
      </c>
    </row>
    <row r="40">
      <c r="A40" s="7" t="inlineStr">
        <is>
          <t>Depreciation and amortization</t>
        </is>
      </c>
      <c r="B40" s="8">
        <f>""</f>
        <v/>
      </c>
      <c r="C40" s="8">
        <f>Historical_Data!C26</f>
        <v/>
      </c>
      <c r="D40" s="8">
        <f>Historical_Data!D26</f>
        <v/>
      </c>
      <c r="E40" s="8">
        <f>E14</f>
        <v/>
      </c>
      <c r="F40" s="8">
        <f>F14</f>
        <v/>
      </c>
      <c r="G40" s="8">
        <f>G14</f>
        <v/>
      </c>
      <c r="H40" s="8">
        <f>H14</f>
        <v/>
      </c>
      <c r="I40" s="8">
        <f>I14</f>
        <v/>
      </c>
    </row>
    <row r="41">
      <c r="A41" s="7" t="inlineStr">
        <is>
          <t>Accounts receivable cash-flow impact</t>
        </is>
      </c>
      <c r="B41" s="8">
        <f>""</f>
        <v/>
      </c>
      <c r="C41" s="8">
        <f>Historical_Data!C27</f>
        <v/>
      </c>
      <c r="D41" s="8">
        <f>Historical_Data!D27</f>
        <v/>
      </c>
      <c r="E41" s="8">
        <f>-Supporting_Schedules!E10</f>
        <v/>
      </c>
      <c r="F41" s="8">
        <f>-Supporting_Schedules!F10</f>
        <v/>
      </c>
      <c r="G41" s="8">
        <f>-Supporting_Schedules!G10</f>
        <v/>
      </c>
      <c r="H41" s="8">
        <f>-Supporting_Schedules!H10</f>
        <v/>
      </c>
      <c r="I41" s="8">
        <f>-Supporting_Schedules!I10</f>
        <v/>
      </c>
    </row>
    <row r="42">
      <c r="A42" s="7" t="inlineStr">
        <is>
          <t>Inventory / other operating assets cash-flow impact</t>
        </is>
      </c>
      <c r="B42" s="8">
        <f>""</f>
        <v/>
      </c>
      <c r="C42" s="8">
        <f>Historical_Data!C28</f>
        <v/>
      </c>
      <c r="D42" s="8">
        <f>Historical_Data!D28</f>
        <v/>
      </c>
      <c r="E42" s="8">
        <f>-Supporting_Schedules!E11</f>
        <v/>
      </c>
      <c r="F42" s="8">
        <f>-Supporting_Schedules!F11</f>
        <v/>
      </c>
      <c r="G42" s="8">
        <f>-Supporting_Schedules!G11</f>
        <v/>
      </c>
      <c r="H42" s="8">
        <f>-Supporting_Schedules!H11</f>
        <v/>
      </c>
      <c r="I42" s="8">
        <f>-Supporting_Schedules!I11</f>
        <v/>
      </c>
    </row>
    <row r="43">
      <c r="A43" s="7" t="inlineStr">
        <is>
          <t>Accounts payable / current liabilities cash-flow impact</t>
        </is>
      </c>
      <c r="B43" s="8">
        <f>""</f>
        <v/>
      </c>
      <c r="C43" s="8">
        <f>Historical_Data!C29</f>
        <v/>
      </c>
      <c r="D43" s="8">
        <f>Historical_Data!D29</f>
        <v/>
      </c>
      <c r="E43" s="8">
        <f>Supporting_Schedules!E12</f>
        <v/>
      </c>
      <c r="F43" s="8">
        <f>Supporting_Schedules!F12</f>
        <v/>
      </c>
      <c r="G43" s="8">
        <f>Supporting_Schedules!G12</f>
        <v/>
      </c>
      <c r="H43" s="8">
        <f>Supporting_Schedules!H12</f>
        <v/>
      </c>
      <c r="I43" s="8">
        <f>Supporting_Schedules!I12</f>
        <v/>
      </c>
    </row>
    <row r="44">
      <c r="A44" s="7" t="inlineStr">
        <is>
          <t>Net working capital cash-flow impact</t>
        </is>
      </c>
      <c r="B44" s="8">
        <f>""</f>
        <v/>
      </c>
      <c r="C44" s="8">
        <f>SUM(C41:C43)</f>
        <v/>
      </c>
      <c r="D44" s="8">
        <f>SUM(D41:D43)</f>
        <v/>
      </c>
      <c r="E44" s="8">
        <f>SUM(E41:E43)</f>
        <v/>
      </c>
      <c r="F44" s="8">
        <f>SUM(F41:F43)</f>
        <v/>
      </c>
      <c r="G44" s="8">
        <f>SUM(G41:G43)</f>
        <v/>
      </c>
      <c r="H44" s="8">
        <f>SUM(H41:H43)</f>
        <v/>
      </c>
      <c r="I44" s="8">
        <f>SUM(I41:I43)</f>
        <v/>
      </c>
    </row>
    <row r="45">
      <c r="A45" s="7" t="inlineStr">
        <is>
          <t>Cash from operations</t>
        </is>
      </c>
      <c r="B45" s="8">
        <f>""</f>
        <v/>
      </c>
      <c r="C45" s="8">
        <f>C39+C40+C44</f>
        <v/>
      </c>
      <c r="D45" s="8">
        <f>D39+D40+D44</f>
        <v/>
      </c>
      <c r="E45" s="8">
        <f>E39+E40+E44</f>
        <v/>
      </c>
      <c r="F45" s="8">
        <f>F39+F40+F44</f>
        <v/>
      </c>
      <c r="G45" s="8">
        <f>G39+G40+G44</f>
        <v/>
      </c>
      <c r="H45" s="8">
        <f>H39+H40+H44</f>
        <v/>
      </c>
      <c r="I45" s="8">
        <f>I39+I40+I44</f>
        <v/>
      </c>
    </row>
    <row r="46">
      <c r="A46" s="7" t="inlineStr">
        <is>
          <t>Capital expenditure</t>
        </is>
      </c>
      <c r="B46" s="8">
        <f>""</f>
        <v/>
      </c>
      <c r="C46" s="8">
        <f>0</f>
        <v/>
      </c>
      <c r="D46" s="8">
        <f>0</f>
        <v/>
      </c>
      <c r="E46" s="8">
        <f>-Supporting_Schedules!E16</f>
        <v/>
      </c>
      <c r="F46" s="8">
        <f>-Supporting_Schedules!F16</f>
        <v/>
      </c>
      <c r="G46" s="8">
        <f>-Supporting_Schedules!G16</f>
        <v/>
      </c>
      <c r="H46" s="8">
        <f>-Supporting_Schedules!H16</f>
        <v/>
      </c>
      <c r="I46" s="8">
        <f>-Supporting_Schedules!I16</f>
        <v/>
      </c>
    </row>
    <row r="47">
      <c r="A47" s="7" t="inlineStr">
        <is>
          <t>Revolver draw</t>
        </is>
      </c>
      <c r="B47" s="8">
        <f>""</f>
        <v/>
      </c>
      <c r="C47" s="8">
        <f>0</f>
        <v/>
      </c>
      <c r="D47" s="8">
        <f>0</f>
        <v/>
      </c>
      <c r="E47" s="8">
        <f>Supporting_Schedules!E22</f>
        <v/>
      </c>
      <c r="F47" s="8">
        <f>Supporting_Schedules!F22</f>
        <v/>
      </c>
      <c r="G47" s="8">
        <f>Supporting_Schedules!G22</f>
        <v/>
      </c>
      <c r="H47" s="8">
        <f>Supporting_Schedules!H22</f>
        <v/>
      </c>
      <c r="I47" s="8">
        <f>Supporting_Schedules!I22</f>
        <v/>
      </c>
    </row>
    <row r="48">
      <c r="A48" s="7" t="inlineStr">
        <is>
          <t>Revolver principal repayment</t>
        </is>
      </c>
      <c r="B48" s="8">
        <f>""</f>
        <v/>
      </c>
      <c r="C48" s="8">
        <f>0</f>
        <v/>
      </c>
      <c r="D48" s="8">
        <f>0</f>
        <v/>
      </c>
      <c r="E48" s="8">
        <f>-Supporting_Schedules!E23</f>
        <v/>
      </c>
      <c r="F48" s="8">
        <f>-Supporting_Schedules!F23</f>
        <v/>
      </c>
      <c r="G48" s="8">
        <f>-Supporting_Schedules!G23</f>
        <v/>
      </c>
      <c r="H48" s="8">
        <f>-Supporting_Schedules!H23</f>
        <v/>
      </c>
      <c r="I48" s="8">
        <f>-Supporting_Schedules!I23</f>
        <v/>
      </c>
    </row>
    <row r="49">
      <c r="A49" s="7" t="inlineStr">
        <is>
          <t>Dividends</t>
        </is>
      </c>
      <c r="B49" s="8">
        <f>""</f>
        <v/>
      </c>
      <c r="C49" s="8">
        <f>0</f>
        <v/>
      </c>
      <c r="D49" s="8">
        <f>0</f>
        <v/>
      </c>
      <c r="E49" s="8">
        <f>-Supporting_Schedules!E31</f>
        <v/>
      </c>
      <c r="F49" s="8">
        <f>-Supporting_Schedules!F31</f>
        <v/>
      </c>
      <c r="G49" s="8">
        <f>-Supporting_Schedules!G31</f>
        <v/>
      </c>
      <c r="H49" s="8">
        <f>-Supporting_Schedules!H31</f>
        <v/>
      </c>
      <c r="I49" s="8">
        <f>-Supporting_Schedules!I31</f>
        <v/>
      </c>
    </row>
    <row r="50">
      <c r="A50" s="7" t="inlineStr">
        <is>
          <t>Unallocated other cash flows (historical source only)</t>
        </is>
      </c>
      <c r="B50" s="8">
        <f>""</f>
        <v/>
      </c>
      <c r="C50" s="8">
        <f>Historical_Data!C33</f>
        <v/>
      </c>
      <c r="D50" s="8">
        <f>Historical_Data!D33</f>
        <v/>
      </c>
      <c r="E50" s="8">
        <f>0</f>
        <v/>
      </c>
      <c r="F50" s="8">
        <f>0</f>
        <v/>
      </c>
      <c r="G50" s="8">
        <f>0</f>
        <v/>
      </c>
      <c r="H50" s="8">
        <f>0</f>
        <v/>
      </c>
      <c r="I50" s="8">
        <f>0</f>
        <v/>
      </c>
    </row>
    <row r="51">
      <c r="A51" s="7" t="inlineStr">
        <is>
          <t>Cash from investing</t>
        </is>
      </c>
      <c r="B51" s="8">
        <f>""</f>
        <v/>
      </c>
      <c r="C51" s="8">
        <f>0</f>
        <v/>
      </c>
      <c r="D51" s="8">
        <f>0</f>
        <v/>
      </c>
      <c r="E51" s="8">
        <f>E46</f>
        <v/>
      </c>
      <c r="F51" s="8">
        <f>F46</f>
        <v/>
      </c>
      <c r="G51" s="8">
        <f>G46</f>
        <v/>
      </c>
      <c r="H51" s="8">
        <f>H46</f>
        <v/>
      </c>
      <c r="I51" s="8">
        <f>I46</f>
        <v/>
      </c>
    </row>
    <row r="52">
      <c r="A52" s="7" t="inlineStr">
        <is>
          <t>Cash from financing</t>
        </is>
      </c>
      <c r="B52" s="8">
        <f>""</f>
        <v/>
      </c>
      <c r="C52" s="8">
        <f>0</f>
        <v/>
      </c>
      <c r="D52" s="8">
        <f>0</f>
        <v/>
      </c>
      <c r="E52" s="8">
        <f>SUM(E47:E49)</f>
        <v/>
      </c>
      <c r="F52" s="8">
        <f>SUM(F47:F49)</f>
        <v/>
      </c>
      <c r="G52" s="8">
        <f>SUM(G47:G49)</f>
        <v/>
      </c>
      <c r="H52" s="8">
        <f>SUM(H47:H49)</f>
        <v/>
      </c>
      <c r="I52" s="8">
        <f>SUM(I47:I49)</f>
        <v/>
      </c>
    </row>
    <row r="53">
      <c r="A53" s="7" t="inlineStr">
        <is>
          <t>Net change in cash</t>
        </is>
      </c>
      <c r="B53" s="8">
        <f>""</f>
        <v/>
      </c>
      <c r="C53" s="8">
        <f>SUM(C45,C50:C52)</f>
        <v/>
      </c>
      <c r="D53" s="8">
        <f>SUM(D45,D50:D52)</f>
        <v/>
      </c>
      <c r="E53" s="8">
        <f>SUM(E45,E50:E52)</f>
        <v/>
      </c>
      <c r="F53" s="8">
        <f>SUM(F45,F50:F52)</f>
        <v/>
      </c>
      <c r="G53" s="8">
        <f>SUM(G45,G50:G52)</f>
        <v/>
      </c>
      <c r="H53" s="8">
        <f>SUM(H45,H50:H52)</f>
        <v/>
      </c>
      <c r="I53" s="8">
        <f>SUM(I45,I50:I52)</f>
        <v/>
      </c>
    </row>
    <row r="54">
      <c r="A54" s="7" t="inlineStr">
        <is>
          <t>Opening cash</t>
        </is>
      </c>
      <c r="B54" s="8">
        <f>""</f>
        <v/>
      </c>
      <c r="C54" s="8">
        <f>Historical_Data!C31</f>
        <v/>
      </c>
      <c r="D54" s="8">
        <f>Historical_Data!D31</f>
        <v/>
      </c>
      <c r="E54" s="8">
        <f>D55</f>
        <v/>
      </c>
      <c r="F54" s="8">
        <f>E55</f>
        <v/>
      </c>
      <c r="G54" s="8">
        <f>F55</f>
        <v/>
      </c>
      <c r="H54" s="8">
        <f>G55</f>
        <v/>
      </c>
      <c r="I54" s="8">
        <f>H55</f>
        <v/>
      </c>
    </row>
    <row r="55">
      <c r="A55" s="7" t="inlineStr">
        <is>
          <t>Ending cash</t>
        </is>
      </c>
      <c r="B55" s="8">
        <f>""</f>
        <v/>
      </c>
      <c r="C55" s="8">
        <f>C54+C53</f>
        <v/>
      </c>
      <c r="D55" s="8">
        <f>D54+D53</f>
        <v/>
      </c>
      <c r="E55" s="8">
        <f>E54+E53</f>
        <v/>
      </c>
      <c r="F55" s="8">
        <f>F54+F53</f>
        <v/>
      </c>
      <c r="G55" s="8">
        <f>G54+G53</f>
        <v/>
      </c>
      <c r="H55" s="8">
        <f>H54+H53</f>
        <v/>
      </c>
      <c r="I55" s="8">
        <f>I54+I53</f>
        <v/>
      </c>
    </row>
    <row r="56"/>
    <row r="57">
      <c r="A57" s="5" t="inlineStr">
        <is>
          <t>Historical mapping</t>
        </is>
      </c>
    </row>
    <row r="58">
      <c r="A58" s="12" t="inlineStr">
        <is>
          <t>The source does not separately disclose cost of sales. Non-personnel operating expenses are the residual of reported total operating expenses less personnel expenses; this is a proxy, not a reported COGS figure.</t>
        </is>
      </c>
    </row>
    <row r="59">
      <c r="A59" s="12" t="inlineStr">
        <is>
          <t>The 2025 inventory field is blank in the source; the model presents current assets excluding cash and receivables as inventory / other operating current assets. Historical CFO uses supplied cash-flow working-capital effects.</t>
        </is>
      </c>
    </row>
  </sheetData>
  <mergeCells count="8">
    <mergeCell ref="A59:I59"/>
    <mergeCell ref="A2:I2"/>
    <mergeCell ref="A5:I5"/>
    <mergeCell ref="A1:I1"/>
    <mergeCell ref="A23:I23"/>
    <mergeCell ref="A3:I3"/>
    <mergeCell ref="A58:I58"/>
    <mergeCell ref="A38:I38"/>
  </mergeCells>
  <conditionalFormatting sqref="A2:I2">
    <cfRule type="expression" priority="1" dxfId="0">
      <formula>Model_Checks!$B$2=0</formula>
    </cfRule>
    <cfRule type="expression" priority="2" dxfId="1">
      <formula>Model_Checks!$B$2&gt;0</formula>
    </cfRule>
  </conditionalFormatting>
  <printOptions horizontalCentered="1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I32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B5" sqref="B5"/>
      <selection pane="bottomLeft"/>
      <selection pane="bottomRigh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7" customHeight="1">
      <c r="A1" s="1" t="inlineStr">
        <is>
          <t>Supporting_Schedules | Working capital, PP&amp;E, debt, and equity roll-forwards</t>
        </is>
      </c>
    </row>
    <row r="2">
      <c r="A2" s="2">
        <f>IF(Model_Checks!$B$2=0,"ALL CHECKS PASSED","MODEL CHECKS FAILED")</f>
        <v/>
      </c>
    </row>
    <row r="3">
      <c r="A3" s="3" t="inlineStr">
        <is>
          <t>Amok Equipment AS | NOK unless stated | Generated 2026-10-10 | Version 1.0</t>
        </is>
      </c>
    </row>
    <row r="4">
      <c r="A4" s="20" t="inlineStr">
        <is>
          <t>Fiscal year</t>
        </is>
      </c>
      <c r="B4" s="21" t="n">
        <v>2023</v>
      </c>
      <c r="C4" s="21" t="n">
        <v>2024</v>
      </c>
      <c r="D4" s="21" t="n">
        <v>2025</v>
      </c>
      <c r="E4" s="22" t="n">
        <v>2026</v>
      </c>
      <c r="F4" s="22" t="n">
        <v>2027</v>
      </c>
      <c r="G4" s="22" t="n">
        <v>2028</v>
      </c>
      <c r="H4" s="22" t="n">
        <v>2029</v>
      </c>
      <c r="I4" s="22" t="n">
        <v>2030</v>
      </c>
    </row>
    <row r="5"/>
    <row r="6">
      <c r="A6" s="5" t="inlineStr">
        <is>
          <t>Working capital schedule (NOK)</t>
        </is>
      </c>
    </row>
    <row r="7">
      <c r="A7" s="7" t="inlineStr">
        <is>
          <t>Accounts receivable</t>
        </is>
      </c>
      <c r="B7" s="8">
        <f>Historical_Data!B15</f>
        <v/>
      </c>
      <c r="C7" s="8">
        <f>Historical_Data!C15</f>
        <v/>
      </c>
      <c r="D7" s="8">
        <f>Historical_Data!D15</f>
        <v/>
      </c>
      <c r="E7" s="8">
        <f>IFERROR(Financial_Statements!E6/Assumptions_and_Inputs!$B$24*Assumptions_and_Inputs!$F$10,0)</f>
        <v/>
      </c>
      <c r="F7" s="8">
        <f>IFERROR(Financial_Statements!F6/Assumptions_and_Inputs!$B$24*Assumptions_and_Inputs!$F$10,0)</f>
        <v/>
      </c>
      <c r="G7" s="8">
        <f>IFERROR(Financial_Statements!G6/Assumptions_and_Inputs!$B$24*Assumptions_and_Inputs!$F$10,0)</f>
        <v/>
      </c>
      <c r="H7" s="8">
        <f>IFERROR(Financial_Statements!H6/Assumptions_and_Inputs!$B$24*Assumptions_and_Inputs!$F$10,0)</f>
        <v/>
      </c>
      <c r="I7" s="8">
        <f>IFERROR(Financial_Statements!I6/Assumptions_and_Inputs!$B$24*Assumptions_and_Inputs!$F$10,0)</f>
        <v/>
      </c>
    </row>
    <row r="8">
      <c r="A8" s="7" t="inlineStr">
        <is>
          <t>Inventory and other operating current assets</t>
        </is>
      </c>
      <c r="B8" s="8">
        <f>Historical_Data!B13-Historical_Data!B15-Historical_Data!B16</f>
        <v/>
      </c>
      <c r="C8" s="8">
        <f>Historical_Data!C13-Historical_Data!C15-Historical_Data!C16</f>
        <v/>
      </c>
      <c r="D8" s="8">
        <f>Historical_Data!D13-Historical_Data!D15-Historical_Data!D16</f>
        <v/>
      </c>
      <c r="E8" s="8">
        <f>IFERROR(Financial_Statements!E8/Assumptions_and_Inputs!$B$24*Assumptions_and_Inputs!$F$11,0)</f>
        <v/>
      </c>
      <c r="F8" s="8">
        <f>IFERROR(Financial_Statements!F8/Assumptions_and_Inputs!$B$24*Assumptions_and_Inputs!$F$11,0)</f>
        <v/>
      </c>
      <c r="G8" s="8">
        <f>IFERROR(Financial_Statements!G8/Assumptions_and_Inputs!$B$24*Assumptions_and_Inputs!$F$11,0)</f>
        <v/>
      </c>
      <c r="H8" s="8">
        <f>IFERROR(Financial_Statements!H8/Assumptions_and_Inputs!$B$24*Assumptions_and_Inputs!$F$11,0)</f>
        <v/>
      </c>
      <c r="I8" s="8">
        <f>IFERROR(Financial_Statements!I8/Assumptions_and_Inputs!$B$24*Assumptions_and_Inputs!$F$11,0)</f>
        <v/>
      </c>
    </row>
    <row r="9">
      <c r="A9" s="7" t="inlineStr">
        <is>
          <t>Accounts payable and other current liabilities (proxy)</t>
        </is>
      </c>
      <c r="B9" s="8">
        <f>Historical_Data!B18</f>
        <v/>
      </c>
      <c r="C9" s="8">
        <f>Historical_Data!C18</f>
        <v/>
      </c>
      <c r="D9" s="8">
        <f>Historical_Data!D18</f>
        <v/>
      </c>
      <c r="E9" s="8">
        <f>IFERROR(Financial_Statements!E8/Assumptions_and_Inputs!$B$24*Assumptions_and_Inputs!$F$12,0)</f>
        <v/>
      </c>
      <c r="F9" s="8">
        <f>IFERROR(Financial_Statements!F8/Assumptions_and_Inputs!$B$24*Assumptions_and_Inputs!$F$12,0)</f>
        <v/>
      </c>
      <c r="G9" s="8">
        <f>IFERROR(Financial_Statements!G8/Assumptions_and_Inputs!$B$24*Assumptions_and_Inputs!$F$12,0)</f>
        <v/>
      </c>
      <c r="H9" s="8">
        <f>IFERROR(Financial_Statements!H8/Assumptions_and_Inputs!$B$24*Assumptions_and_Inputs!$F$12,0)</f>
        <v/>
      </c>
      <c r="I9" s="8">
        <f>IFERROR(Financial_Statements!I8/Assumptions_and_Inputs!$B$24*Assumptions_and_Inputs!$F$12,0)</f>
        <v/>
      </c>
    </row>
    <row r="10">
      <c r="A10" s="7" t="inlineStr">
        <is>
          <t>Change in accounts receivable (balance change)</t>
        </is>
      </c>
      <c r="B10" s="8">
        <f>""</f>
        <v/>
      </c>
      <c r="C10" s="8">
        <f>C7-B7</f>
        <v/>
      </c>
      <c r="D10" s="8">
        <f>D7-C7</f>
        <v/>
      </c>
      <c r="E10" s="8">
        <f>E7-D7</f>
        <v/>
      </c>
      <c r="F10" s="8">
        <f>F7-E7</f>
        <v/>
      </c>
      <c r="G10" s="8">
        <f>G7-F7</f>
        <v/>
      </c>
      <c r="H10" s="8">
        <f>H7-G7</f>
        <v/>
      </c>
      <c r="I10" s="8">
        <f>I7-H7</f>
        <v/>
      </c>
    </row>
    <row r="11">
      <c r="A11" s="7" t="inlineStr">
        <is>
          <t>Change in inventory / other operating assets</t>
        </is>
      </c>
      <c r="B11" s="8">
        <f>""</f>
        <v/>
      </c>
      <c r="C11" s="8">
        <f>C8-B8</f>
        <v/>
      </c>
      <c r="D11" s="8">
        <f>D8-C8</f>
        <v/>
      </c>
      <c r="E11" s="8">
        <f>E8-D8</f>
        <v/>
      </c>
      <c r="F11" s="8">
        <f>F8-E8</f>
        <v/>
      </c>
      <c r="G11" s="8">
        <f>G8-F8</f>
        <v/>
      </c>
      <c r="H11" s="8">
        <f>H8-G8</f>
        <v/>
      </c>
      <c r="I11" s="8">
        <f>I8-H8</f>
        <v/>
      </c>
    </row>
    <row r="12">
      <c r="A12" s="7" t="inlineStr">
        <is>
          <t>Change in accounts payable / current liabilities</t>
        </is>
      </c>
      <c r="B12" s="8">
        <f>""</f>
        <v/>
      </c>
      <c r="C12" s="8">
        <f>C9-B9</f>
        <v/>
      </c>
      <c r="D12" s="8">
        <f>D9-C9</f>
        <v/>
      </c>
      <c r="E12" s="8">
        <f>E9-D9</f>
        <v/>
      </c>
      <c r="F12" s="8">
        <f>F9-E9</f>
        <v/>
      </c>
      <c r="G12" s="8">
        <f>G9-F9</f>
        <v/>
      </c>
      <c r="H12" s="8">
        <f>H9-G9</f>
        <v/>
      </c>
      <c r="I12" s="8">
        <f>I9-H9</f>
        <v/>
      </c>
    </row>
    <row r="13"/>
    <row r="14">
      <c r="A14" s="5" t="inlineStr">
        <is>
          <t>PP&amp;E corkscrew (NOK)</t>
        </is>
      </c>
    </row>
    <row r="15">
      <c r="A15" s="7" t="inlineStr">
        <is>
          <t>Opening net PP&amp;E</t>
        </is>
      </c>
      <c r="B15" s="8">
        <f>""</f>
        <v/>
      </c>
      <c r="C15" s="8">
        <f>""</f>
        <v/>
      </c>
      <c r="D15" s="8">
        <f>""</f>
        <v/>
      </c>
      <c r="E15" s="8">
        <f>D18</f>
        <v/>
      </c>
      <c r="F15" s="8">
        <f>E18</f>
        <v/>
      </c>
      <c r="G15" s="8">
        <f>F18</f>
        <v/>
      </c>
      <c r="H15" s="8">
        <f>G18</f>
        <v/>
      </c>
      <c r="I15" s="8">
        <f>H18</f>
        <v/>
      </c>
    </row>
    <row r="16">
      <c r="A16" s="7" t="inlineStr">
        <is>
          <t>Capital expenditures</t>
        </is>
      </c>
      <c r="B16" s="8">
        <f>""</f>
        <v/>
      </c>
      <c r="C16" s="8">
        <f>""</f>
        <v/>
      </c>
      <c r="D16" s="8">
        <f>""</f>
        <v/>
      </c>
      <c r="E16" s="8">
        <f>Financial_Statements!E6*Assumptions_and_Inputs!$F$13</f>
        <v/>
      </c>
      <c r="F16" s="8">
        <f>Financial_Statements!F6*Assumptions_and_Inputs!$F$13</f>
        <v/>
      </c>
      <c r="G16" s="8">
        <f>Financial_Statements!G6*Assumptions_and_Inputs!$F$13</f>
        <v/>
      </c>
      <c r="H16" s="8">
        <f>Financial_Statements!H6*Assumptions_and_Inputs!$F$13</f>
        <v/>
      </c>
      <c r="I16" s="8">
        <f>Financial_Statements!I6*Assumptions_and_Inputs!$F$13</f>
        <v/>
      </c>
    </row>
    <row r="17">
      <c r="A17" s="7" t="inlineStr">
        <is>
          <t>Depreciation and amortization</t>
        </is>
      </c>
      <c r="B17" s="8">
        <f>Historical_Data!B26</f>
        <v/>
      </c>
      <c r="C17" s="8">
        <f>Historical_Data!C26</f>
        <v/>
      </c>
      <c r="D17" s="8">
        <f>Historical_Data!D26</f>
        <v/>
      </c>
      <c r="E17" s="8">
        <f>MIN(E15+E16,(E15+E16/2)*Assumptions_and_Inputs!$F$14)</f>
        <v/>
      </c>
      <c r="F17" s="8">
        <f>MIN(F15+F16,(F15+F16/2)*Assumptions_and_Inputs!$F$14)</f>
        <v/>
      </c>
      <c r="G17" s="8">
        <f>MIN(G15+G16,(G15+G16/2)*Assumptions_and_Inputs!$F$14)</f>
        <v/>
      </c>
      <c r="H17" s="8">
        <f>MIN(H15+H16,(H15+H16/2)*Assumptions_and_Inputs!$F$14)</f>
        <v/>
      </c>
      <c r="I17" s="8">
        <f>MIN(I15+I16,(I15+I16/2)*Assumptions_and_Inputs!$F$14)</f>
        <v/>
      </c>
    </row>
    <row r="18">
      <c r="A18" s="7" t="inlineStr">
        <is>
          <t>Closing net PP&amp;E</t>
        </is>
      </c>
      <c r="B18" s="8">
        <f>Historical_Data!B12</f>
        <v/>
      </c>
      <c r="C18" s="8">
        <f>Historical_Data!C12</f>
        <v/>
      </c>
      <c r="D18" s="8">
        <f>Historical_Data!D12</f>
        <v/>
      </c>
      <c r="E18" s="8">
        <f>MAX(0,E15+E16-E17)</f>
        <v/>
      </c>
      <c r="F18" s="8">
        <f>MAX(0,F15+F16-F17)</f>
        <v/>
      </c>
      <c r="G18" s="8">
        <f>MAX(0,G15+G16-G17)</f>
        <v/>
      </c>
      <c r="H18" s="8">
        <f>MAX(0,H15+H16-H17)</f>
        <v/>
      </c>
      <c r="I18" s="8">
        <f>MAX(0,I15+I16-I17)</f>
        <v/>
      </c>
    </row>
    <row r="19"/>
    <row r="20">
      <c r="A20" s="5" t="inlineStr">
        <is>
          <t>Revolver and interest (NOK)</t>
        </is>
      </c>
    </row>
    <row r="21">
      <c r="A21" s="7" t="inlineStr">
        <is>
          <t>Opening revolver debt</t>
        </is>
      </c>
      <c r="B21" s="8">
        <f>""</f>
        <v/>
      </c>
      <c r="C21" s="8">
        <f>""</f>
        <v/>
      </c>
      <c r="D21" s="8">
        <f>""</f>
        <v/>
      </c>
      <c r="E21" s="8">
        <f>D24</f>
        <v/>
      </c>
      <c r="F21" s="8">
        <f>E24</f>
        <v/>
      </c>
      <c r="G21" s="8">
        <f>F24</f>
        <v/>
      </c>
      <c r="H21" s="8">
        <f>G24</f>
        <v/>
      </c>
      <c r="I21" s="8">
        <f>H24</f>
        <v/>
      </c>
    </row>
    <row r="22">
      <c r="A22" s="7" t="inlineStr">
        <is>
          <t>Revolver draw</t>
        </is>
      </c>
      <c r="B22" s="8">
        <f>""</f>
        <v/>
      </c>
      <c r="C22" s="8">
        <f>""</f>
        <v/>
      </c>
      <c r="D22" s="8">
        <f>""</f>
        <v/>
      </c>
      <c r="E22" s="8">
        <f>MIN(MAX(0,Assumptions_and_Inputs!$F$20-E21),MAX(0,Assumptions_and_Inputs!$F$19-(Financial_Statements!D25+Financial_Statements!E45+Financial_Statements!E46+Financial_Statements!E49)))</f>
        <v/>
      </c>
      <c r="F22" s="8">
        <f>MIN(MAX(0,Assumptions_and_Inputs!$F$20-F21),MAX(0,Assumptions_and_Inputs!$F$19-(Financial_Statements!E25+Financial_Statements!F45+Financial_Statements!F46+Financial_Statements!F49)))</f>
        <v/>
      </c>
      <c r="G22" s="8">
        <f>MIN(MAX(0,Assumptions_and_Inputs!$F$20-G21),MAX(0,Assumptions_and_Inputs!$F$19-(Financial_Statements!F25+Financial_Statements!G45+Financial_Statements!G46+Financial_Statements!G49)))</f>
        <v/>
      </c>
      <c r="H22" s="8">
        <f>MIN(MAX(0,Assumptions_and_Inputs!$F$20-H21),MAX(0,Assumptions_and_Inputs!$F$19-(Financial_Statements!G25+Financial_Statements!H45+Financial_Statements!H46+Financial_Statements!H49)))</f>
        <v/>
      </c>
      <c r="I22" s="8">
        <f>MIN(MAX(0,Assumptions_and_Inputs!$F$20-I21),MAX(0,Assumptions_and_Inputs!$F$19-(Financial_Statements!H25+Financial_Statements!I45+Financial_Statements!I46+Financial_Statements!I49)))</f>
        <v/>
      </c>
    </row>
    <row r="23">
      <c r="A23" s="7" t="inlineStr">
        <is>
          <t>Revolver principal repayment</t>
        </is>
      </c>
      <c r="B23" s="8">
        <f>""</f>
        <v/>
      </c>
      <c r="C23" s="8">
        <f>""</f>
        <v/>
      </c>
      <c r="D23" s="8">
        <f>""</f>
        <v/>
      </c>
      <c r="E23" s="8">
        <f>MIN(E21+E22,MAX(0,Financial_Statements!D25+Financial_Statements!E45+Financial_Statements!E46+Financial_Statements!E49-Assumptions_and_Inputs!$F$19)*Assumptions_and_Inputs!$F$21)</f>
        <v/>
      </c>
      <c r="F23" s="8">
        <f>MIN(F21+F22,MAX(0,Financial_Statements!E25+Financial_Statements!F45+Financial_Statements!F46+Financial_Statements!F49-Assumptions_and_Inputs!$F$19)*Assumptions_and_Inputs!$F$21)</f>
        <v/>
      </c>
      <c r="G23" s="8">
        <f>MIN(G21+G22,MAX(0,Financial_Statements!F25+Financial_Statements!G45+Financial_Statements!G46+Financial_Statements!G49-Assumptions_and_Inputs!$F$19)*Assumptions_and_Inputs!$F$21)</f>
        <v/>
      </c>
      <c r="H23" s="8">
        <f>MIN(H21+H22,MAX(0,Financial_Statements!G25+Financial_Statements!H45+Financial_Statements!H46+Financial_Statements!H49-Assumptions_and_Inputs!$F$19)*Assumptions_and_Inputs!$F$21)</f>
        <v/>
      </c>
      <c r="I23" s="8">
        <f>MIN(I21+I22,MAX(0,Financial_Statements!H25+Financial_Statements!I45+Financial_Statements!I46+Financial_Statements!I49-Assumptions_and_Inputs!$F$19)*Assumptions_and_Inputs!$F$21)</f>
        <v/>
      </c>
    </row>
    <row r="24">
      <c r="A24" s="7" t="inlineStr">
        <is>
          <t>Closing revolver debt</t>
        </is>
      </c>
      <c r="B24" s="8">
        <f>Historical_Data!B19</f>
        <v/>
      </c>
      <c r="C24" s="8">
        <f>Historical_Data!C19</f>
        <v/>
      </c>
      <c r="D24" s="8">
        <f>Historical_Data!D19</f>
        <v/>
      </c>
      <c r="E24" s="8">
        <f>E21+E22-E23</f>
        <v/>
      </c>
      <c r="F24" s="8">
        <f>F21+F22-F23</f>
        <v/>
      </c>
      <c r="G24" s="8">
        <f>G21+G22-G23</f>
        <v/>
      </c>
      <c r="H24" s="8">
        <f>H21+H22-H23</f>
        <v/>
      </c>
      <c r="I24" s="8">
        <f>I21+I22-I23</f>
        <v/>
      </c>
    </row>
    <row r="25">
      <c r="A25" s="7" t="inlineStr">
        <is>
          <t>Cash interest income (opening cash method)</t>
        </is>
      </c>
      <c r="B25" s="8">
        <f>""</f>
        <v/>
      </c>
      <c r="C25" s="8">
        <f>""</f>
        <v/>
      </c>
      <c r="D25" s="8">
        <f>""</f>
        <v/>
      </c>
      <c r="E25" s="8">
        <f>Financial_Statements!D25*Assumptions_and_Inputs!$F$15</f>
        <v/>
      </c>
      <c r="F25" s="8">
        <f>Financial_Statements!E25*Assumptions_and_Inputs!$F$15</f>
        <v/>
      </c>
      <c r="G25" s="8">
        <f>Financial_Statements!F25*Assumptions_and_Inputs!$F$15</f>
        <v/>
      </c>
      <c r="H25" s="8">
        <f>Financial_Statements!G25*Assumptions_and_Inputs!$F$15</f>
        <v/>
      </c>
      <c r="I25" s="8">
        <f>Financial_Statements!H25*Assumptions_and_Inputs!$F$15</f>
        <v/>
      </c>
    </row>
    <row r="26">
      <c r="A26" s="7" t="inlineStr">
        <is>
          <t>Revolver interest expense (opening debt method)</t>
        </is>
      </c>
      <c r="B26" s="8">
        <f>""</f>
        <v/>
      </c>
      <c r="C26" s="8">
        <f>""</f>
        <v/>
      </c>
      <c r="D26" s="8">
        <f>""</f>
        <v/>
      </c>
      <c r="E26" s="8">
        <f>E21*Assumptions_and_Inputs!$F$16</f>
        <v/>
      </c>
      <c r="F26" s="8">
        <f>F21*Assumptions_and_Inputs!$F$16</f>
        <v/>
      </c>
      <c r="G26" s="8">
        <f>G21*Assumptions_and_Inputs!$F$16</f>
        <v/>
      </c>
      <c r="H26" s="8">
        <f>H21*Assumptions_and_Inputs!$F$16</f>
        <v/>
      </c>
      <c r="I26" s="8">
        <f>I21*Assumptions_and_Inputs!$F$16</f>
        <v/>
      </c>
    </row>
    <row r="27"/>
    <row r="28">
      <c r="A28" s="5" t="inlineStr">
        <is>
          <t>Shareholders' equity corkscrew (NOK)</t>
        </is>
      </c>
    </row>
    <row r="29">
      <c r="A29" s="7" t="inlineStr">
        <is>
          <t>Opening shareholders' equity</t>
        </is>
      </c>
      <c r="B29" s="8">
        <f>""</f>
        <v/>
      </c>
      <c r="C29" s="8">
        <f>""</f>
        <v/>
      </c>
      <c r="D29" s="8">
        <f>""</f>
        <v/>
      </c>
      <c r="E29" s="8">
        <f>D32</f>
        <v/>
      </c>
      <c r="F29" s="8">
        <f>E32</f>
        <v/>
      </c>
      <c r="G29" s="8">
        <f>F32</f>
        <v/>
      </c>
      <c r="H29" s="8">
        <f>G32</f>
        <v/>
      </c>
      <c r="I29" s="8">
        <f>H32</f>
        <v/>
      </c>
    </row>
    <row r="30">
      <c r="A30" s="7" t="inlineStr">
        <is>
          <t>Net income</t>
        </is>
      </c>
      <c r="B30" s="8">
        <f>Historical_Data!B11</f>
        <v/>
      </c>
      <c r="C30" s="8">
        <f>Historical_Data!C11</f>
        <v/>
      </c>
      <c r="D30" s="8">
        <f>Historical_Data!D11</f>
        <v/>
      </c>
      <c r="E30" s="8">
        <f>Financial_Statements!E20</f>
        <v/>
      </c>
      <c r="F30" s="8">
        <f>Financial_Statements!F20</f>
        <v/>
      </c>
      <c r="G30" s="8">
        <f>Financial_Statements!G20</f>
        <v/>
      </c>
      <c r="H30" s="8">
        <f>Financial_Statements!H20</f>
        <v/>
      </c>
      <c r="I30" s="8">
        <f>Financial_Statements!I20</f>
        <v/>
      </c>
    </row>
    <row r="31">
      <c r="A31" s="7" t="inlineStr">
        <is>
          <t>Dividends</t>
        </is>
      </c>
      <c r="B31" s="8">
        <f>""</f>
        <v/>
      </c>
      <c r="C31" s="8">
        <f>""</f>
        <v/>
      </c>
      <c r="D31" s="8">
        <f>""</f>
        <v/>
      </c>
      <c r="E31" s="8">
        <f>MAX(0,E30)*Assumptions_and_Inputs!$F$18</f>
        <v/>
      </c>
      <c r="F31" s="8">
        <f>MAX(0,F30)*Assumptions_and_Inputs!$F$18</f>
        <v/>
      </c>
      <c r="G31" s="8">
        <f>MAX(0,G30)*Assumptions_and_Inputs!$F$18</f>
        <v/>
      </c>
      <c r="H31" s="8">
        <f>MAX(0,H30)*Assumptions_and_Inputs!$F$18</f>
        <v/>
      </c>
      <c r="I31" s="8">
        <f>MAX(0,I30)*Assumptions_and_Inputs!$F$18</f>
        <v/>
      </c>
    </row>
    <row r="32">
      <c r="A32" s="7" t="inlineStr">
        <is>
          <t>Closing shareholders' equity</t>
        </is>
      </c>
      <c r="B32" s="8">
        <f>Historical_Data!B21</f>
        <v/>
      </c>
      <c r="C32" s="8">
        <f>Historical_Data!C21</f>
        <v/>
      </c>
      <c r="D32" s="8">
        <f>Historical_Data!D21</f>
        <v/>
      </c>
      <c r="E32" s="8">
        <f>E29+E30-E31</f>
        <v/>
      </c>
      <c r="F32" s="8">
        <f>F29+F30-F31</f>
        <v/>
      </c>
      <c r="G32" s="8">
        <f>G29+G30-G31</f>
        <v/>
      </c>
      <c r="H32" s="8">
        <f>H29+H30-H31</f>
        <v/>
      </c>
      <c r="I32" s="8">
        <f>I29+I30-I31</f>
        <v/>
      </c>
    </row>
  </sheetData>
  <mergeCells count="7">
    <mergeCell ref="A2:I2"/>
    <mergeCell ref="A28:I28"/>
    <mergeCell ref="A14:I14"/>
    <mergeCell ref="A1:I1"/>
    <mergeCell ref="A3:I3"/>
    <mergeCell ref="A6:I6"/>
    <mergeCell ref="A20:I20"/>
  </mergeCells>
  <conditionalFormatting sqref="A2:I2">
    <cfRule type="expression" priority="1" dxfId="0">
      <formula>Model_Checks!$B$2=0</formula>
    </cfRule>
    <cfRule type="expression" priority="2" dxfId="1">
      <formula>Model_Checks!$B$2&gt;0</formula>
    </cfRule>
  </conditionalFormatting>
  <printOptions horizontalCentered="1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F132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B5" sqref="B5"/>
      <selection pane="bottomLeft"/>
      <selection pane="bottomRight" activeCell="A1" sqref="A1"/>
    </sheetView>
  </sheetViews>
  <sheetFormatPr baseColWidth="8" defaultRowHeight="15"/>
  <cols>
    <col width="4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 ht="27" customHeight="1">
      <c r="A1" s="1" t="inlineStr">
        <is>
          <t>Scenario_Analysis | Side-by-side outcomes and forecast schedules by scenario</t>
        </is>
      </c>
    </row>
    <row r="2">
      <c r="A2" s="2">
        <f>IF(Model_Checks!$B$2=0,"ALL CHECKS PASSED","MODEL CHECKS FAILED")</f>
        <v/>
      </c>
    </row>
    <row r="3">
      <c r="A3" s="3" t="inlineStr">
        <is>
          <t>Amok Equipment AS | NOK unless stated | Generated 2026-10-10 | Version 1.0</t>
        </is>
      </c>
    </row>
    <row r="4">
      <c r="A4" s="14" t="inlineStr">
        <is>
          <t>2030 output (NOK, except margin)</t>
        </is>
      </c>
      <c r="B4" s="14" t="inlineStr">
        <is>
          <t>Base Case</t>
        </is>
      </c>
      <c r="C4" s="14" t="inlineStr">
        <is>
          <t>Bull Case</t>
        </is>
      </c>
      <c r="D4" s="14" t="inlineStr">
        <is>
          <t>Bear Case</t>
        </is>
      </c>
      <c r="E4" s="14" t="inlineStr">
        <is>
          <t>Severe Stress</t>
        </is>
      </c>
    </row>
    <row r="5">
      <c r="A5" t="inlineStr">
        <is>
          <t>Revenue</t>
        </is>
      </c>
      <c r="B5" s="24">
        <f>F15</f>
        <v/>
      </c>
      <c r="C5" s="24">
        <f>F45</f>
        <v/>
      </c>
      <c r="D5" s="24">
        <f>F75</f>
        <v/>
      </c>
      <c r="E5" s="24">
        <f>F105</f>
        <v/>
      </c>
    </row>
    <row r="6">
      <c r="A6" s="7" t="inlineStr">
        <is>
          <t>EBITDA</t>
        </is>
      </c>
      <c r="B6" s="8">
        <f>F18</f>
        <v/>
      </c>
      <c r="C6" s="8">
        <f>F48</f>
        <v/>
      </c>
      <c r="D6" s="8">
        <f>F78</f>
        <v/>
      </c>
      <c r="E6" s="8">
        <f>F108</f>
        <v/>
      </c>
    </row>
    <row r="7">
      <c r="A7" s="7" t="inlineStr">
        <is>
          <t>EBITDA margin</t>
        </is>
      </c>
      <c r="B7" s="9">
        <f>IFERROR(B6/B5,0)</f>
        <v/>
      </c>
      <c r="C7" s="9">
        <f>IFERROR(C6/C5,0)</f>
        <v/>
      </c>
      <c r="D7" s="9">
        <f>IFERROR(D6/D5,0)</f>
        <v/>
      </c>
      <c r="E7" s="9">
        <f>IFERROR(E6/E5,0)</f>
        <v/>
      </c>
    </row>
    <row r="8">
      <c r="A8" s="7" t="inlineStr">
        <is>
          <t>Ending cash</t>
        </is>
      </c>
      <c r="B8" s="8">
        <f>F38</f>
        <v/>
      </c>
      <c r="C8" s="8">
        <f>F68</f>
        <v/>
      </c>
      <c r="D8" s="8">
        <f>F98</f>
        <v/>
      </c>
      <c r="E8" s="8">
        <f>F128</f>
        <v/>
      </c>
    </row>
    <row r="9">
      <c r="A9" s="7" t="inlineStr">
        <is>
          <t>Closing revolver debt</t>
        </is>
      </c>
      <c r="B9" s="8">
        <f>F37</f>
        <v/>
      </c>
      <c r="C9" s="8">
        <f>F67</f>
        <v/>
      </c>
      <c r="D9" s="8">
        <f>F97</f>
        <v/>
      </c>
      <c r="E9" s="8">
        <f>F127</f>
        <v/>
      </c>
    </row>
    <row r="10">
      <c r="A10" s="7" t="inlineStr">
        <is>
          <t>Liquidity status</t>
        </is>
      </c>
      <c r="B10" s="10">
        <f>IF(OR(F38&lt;0,F37&gt;Assumptions_and_Inputs!$B$20),"BREACH",IF(F38&lt;Assumptions_and_Inputs!$B$19-Assumptions_and_Inputs!$B$25,"BELOW MIN CASH","PASS"))</f>
        <v/>
      </c>
      <c r="C10" s="10">
        <f>IF(OR(F68&lt;0,F67&gt;Assumptions_and_Inputs!$C$20),"BREACH",IF(F68&lt;Assumptions_and_Inputs!$C$19-Assumptions_and_Inputs!$B$25,"BELOW MIN CASH","PASS"))</f>
        <v/>
      </c>
      <c r="D10" s="10">
        <f>IF(OR(F98&lt;0,F97&gt;Assumptions_and_Inputs!$D$20),"BREACH",IF(F98&lt;Assumptions_and_Inputs!$D$19-Assumptions_and_Inputs!$B$25,"BELOW MIN CASH","PASS"))</f>
        <v/>
      </c>
      <c r="E10" s="10">
        <f>IF(OR(F128&lt;0,F127&gt;Assumptions_and_Inputs!$E$20),"BREACH",IF(F128&lt;Assumptions_and_Inputs!$E$19-Assumptions_and_Inputs!$B$25,"BELOW MIN CASH","PASS"))</f>
        <v/>
      </c>
    </row>
    <row r="11" ht="36" customHeight="1">
      <c r="A11" s="12" t="inlineStr">
        <is>
          <t>Each scenario schedule independently rolls working capital, PP&amp;E, cash, revolver debt, and equity. Liquidity status flags cash shortfalls; active-case details also appear in Financial_Statements.</t>
        </is>
      </c>
    </row>
    <row r="12"/>
    <row r="13">
      <c r="A13" s="5" t="inlineStr">
        <is>
          <t>Base Case | Five-year integrated scenario schedule</t>
        </is>
      </c>
    </row>
    <row r="14">
      <c r="A14" s="6" t="inlineStr">
        <is>
          <t>Forecast year</t>
        </is>
      </c>
      <c r="B14" s="6" t="n">
        <v>2026</v>
      </c>
      <c r="C14" s="6" t="n">
        <v>2027</v>
      </c>
      <c r="D14" s="6" t="n">
        <v>2028</v>
      </c>
      <c r="E14" s="6" t="n">
        <v>2029</v>
      </c>
      <c r="F14" s="6" t="n">
        <v>2030</v>
      </c>
    </row>
    <row r="15">
      <c r="A15" s="7" t="inlineStr">
        <is>
          <t>Revenue</t>
        </is>
      </c>
      <c r="B15" s="8">
        <f>Historical_Data!$D$5*(1+Assumptions_and_Inputs!$B$6)*(1+Assumptions_and_Inputs!$B$7)</f>
        <v/>
      </c>
      <c r="C15" s="8">
        <f>B15*(1+Assumptions_and_Inputs!$B$6)*(1+Assumptions_and_Inputs!$B$7)</f>
        <v/>
      </c>
      <c r="D15" s="8">
        <f>C15*(1+Assumptions_and_Inputs!$B$6)*(1+Assumptions_and_Inputs!$B$7)</f>
        <v/>
      </c>
      <c r="E15" s="8">
        <f>D15*(1+Assumptions_and_Inputs!$B$6)*(1+Assumptions_and_Inputs!$B$7)</f>
        <v/>
      </c>
      <c r="F15" s="8">
        <f>E15*(1+Assumptions_and_Inputs!$B$6)*(1+Assumptions_and_Inputs!$B$7)</f>
        <v/>
      </c>
    </row>
    <row r="16">
      <c r="A16" s="7" t="inlineStr">
        <is>
          <t>Non-personnel operating costs</t>
        </is>
      </c>
      <c r="B16" s="8">
        <f>B15*Assumptions_and_Inputs!$B$8</f>
        <v/>
      </c>
      <c r="C16" s="8">
        <f>C15*Assumptions_and_Inputs!$B$8</f>
        <v/>
      </c>
      <c r="D16" s="8">
        <f>D15*Assumptions_and_Inputs!$B$8</f>
        <v/>
      </c>
      <c r="E16" s="8">
        <f>E15*Assumptions_and_Inputs!$B$8</f>
        <v/>
      </c>
      <c r="F16" s="8">
        <f>F15*Assumptions_and_Inputs!$B$8</f>
        <v/>
      </c>
    </row>
    <row r="17">
      <c r="A17" s="7" t="inlineStr">
        <is>
          <t>Personnel expenses</t>
        </is>
      </c>
      <c r="B17" s="8">
        <f>Historical_Data!$D$7*(1+Assumptions_and_Inputs!$B$6)*(1+Assumptions_and_Inputs!$B$9)</f>
        <v/>
      </c>
      <c r="C17" s="8">
        <f>B17*(1+Assumptions_and_Inputs!$B$6)*(1+Assumptions_and_Inputs!$B$9)</f>
        <v/>
      </c>
      <c r="D17" s="8">
        <f>C17*(1+Assumptions_and_Inputs!$B$6)*(1+Assumptions_and_Inputs!$B$9)</f>
        <v/>
      </c>
      <c r="E17" s="8">
        <f>D17*(1+Assumptions_and_Inputs!$B$6)*(1+Assumptions_and_Inputs!$B$9)</f>
        <v/>
      </c>
      <c r="F17" s="8">
        <f>E17*(1+Assumptions_and_Inputs!$B$6)*(1+Assumptions_and_Inputs!$B$9)</f>
        <v/>
      </c>
    </row>
    <row r="18">
      <c r="A18" s="7" t="inlineStr">
        <is>
          <t>EBITDA</t>
        </is>
      </c>
      <c r="B18" s="8">
        <f>B15-B16-B17</f>
        <v/>
      </c>
      <c r="C18" s="8">
        <f>C15-C16-C17</f>
        <v/>
      </c>
      <c r="D18" s="8">
        <f>D15-D16-D17</f>
        <v/>
      </c>
      <c r="E18" s="8">
        <f>E15-E16-E17</f>
        <v/>
      </c>
      <c r="F18" s="8">
        <f>F15-F16-F17</f>
        <v/>
      </c>
    </row>
    <row r="19">
      <c r="A19" s="7" t="inlineStr">
        <is>
          <t>Depreciation and amortization</t>
        </is>
      </c>
      <c r="B19" s="8">
        <f>MIN(B28+B27,(B28+B27/2)*Assumptions_and_Inputs!$B$14)</f>
        <v/>
      </c>
      <c r="C19" s="8">
        <f>MIN(C28+C27,(C28+C27/2)*Assumptions_and_Inputs!$B$14)</f>
        <v/>
      </c>
      <c r="D19" s="8">
        <f>MIN(D28+D27,(D28+D27/2)*Assumptions_and_Inputs!$B$14)</f>
        <v/>
      </c>
      <c r="E19" s="8">
        <f>MIN(E28+E27,(E28+E27/2)*Assumptions_and_Inputs!$B$14)</f>
        <v/>
      </c>
      <c r="F19" s="8">
        <f>MIN(F28+F27,(F28+F27/2)*Assumptions_and_Inputs!$B$14)</f>
        <v/>
      </c>
    </row>
    <row r="20">
      <c r="A20" s="7" t="inlineStr">
        <is>
          <t>EBIT</t>
        </is>
      </c>
      <c r="B20" s="8">
        <f>B18-B19</f>
        <v/>
      </c>
      <c r="C20" s="8">
        <f>C18-C19</f>
        <v/>
      </c>
      <c r="D20" s="8">
        <f>D18-D19</f>
        <v/>
      </c>
      <c r="E20" s="8">
        <f>E18-E19</f>
        <v/>
      </c>
      <c r="F20" s="8">
        <f>F18-F19</f>
        <v/>
      </c>
    </row>
    <row r="21">
      <c r="A21" s="7" t="inlineStr">
        <is>
          <t>Cash interest income</t>
        </is>
      </c>
      <c r="B21" s="8">
        <f>B30*Assumptions_and_Inputs!$B$15</f>
        <v/>
      </c>
      <c r="C21" s="8">
        <f>C30*Assumptions_and_Inputs!$B$15</f>
        <v/>
      </c>
      <c r="D21" s="8">
        <f>D30*Assumptions_and_Inputs!$B$15</f>
        <v/>
      </c>
      <c r="E21" s="8">
        <f>E30*Assumptions_and_Inputs!$B$15</f>
        <v/>
      </c>
      <c r="F21" s="8">
        <f>F30*Assumptions_and_Inputs!$B$15</f>
        <v/>
      </c>
    </row>
    <row r="22">
      <c r="A22" s="7" t="inlineStr">
        <is>
          <t>Revolver interest expense</t>
        </is>
      </c>
      <c r="B22" s="8">
        <f>B34*Assumptions_and_Inputs!$B$16</f>
        <v/>
      </c>
      <c r="C22" s="8">
        <f>C34*Assumptions_and_Inputs!$B$16</f>
        <v/>
      </c>
      <c r="D22" s="8">
        <f>D34*Assumptions_and_Inputs!$B$16</f>
        <v/>
      </c>
      <c r="E22" s="8">
        <f>E34*Assumptions_and_Inputs!$B$16</f>
        <v/>
      </c>
      <c r="F22" s="8">
        <f>F34*Assumptions_and_Inputs!$B$16</f>
        <v/>
      </c>
    </row>
    <row r="23">
      <c r="A23" s="7" t="inlineStr">
        <is>
          <t>Net income</t>
        </is>
      </c>
      <c r="B23" s="8">
        <f>B20+B21-B22-MAX(0,B20+B21-B22)*Assumptions_and_Inputs!$B$17</f>
        <v/>
      </c>
      <c r="C23" s="8">
        <f>C20+C21-C22-MAX(0,C20+C21-C22)*Assumptions_and_Inputs!$B$17</f>
        <v/>
      </c>
      <c r="D23" s="8">
        <f>D20+D21-D22-MAX(0,D20+D21-D22)*Assumptions_and_Inputs!$B$17</f>
        <v/>
      </c>
      <c r="E23" s="8">
        <f>E20+E21-E22-MAX(0,E20+E21-E22)*Assumptions_and_Inputs!$B$17</f>
        <v/>
      </c>
      <c r="F23" s="8">
        <f>F20+F21-F22-MAX(0,F20+F21-F22)*Assumptions_and_Inputs!$B$17</f>
        <v/>
      </c>
    </row>
    <row r="24">
      <c r="A24" s="7" t="inlineStr">
        <is>
          <t>Accounts receivable</t>
        </is>
      </c>
      <c r="B24" s="8">
        <f>IFERROR(B15/Assumptions_and_Inputs!$B$24*Assumptions_and_Inputs!$B$10,0)</f>
        <v/>
      </c>
      <c r="C24" s="8">
        <f>IFERROR(C15/Assumptions_and_Inputs!$B$24*Assumptions_and_Inputs!$B$10,0)</f>
        <v/>
      </c>
      <c r="D24" s="8">
        <f>IFERROR(D15/Assumptions_and_Inputs!$B$24*Assumptions_and_Inputs!$B$10,0)</f>
        <v/>
      </c>
      <c r="E24" s="8">
        <f>IFERROR(E15/Assumptions_and_Inputs!$B$24*Assumptions_and_Inputs!$B$10,0)</f>
        <v/>
      </c>
      <c r="F24" s="8">
        <f>IFERROR(F15/Assumptions_and_Inputs!$B$24*Assumptions_and_Inputs!$B$10,0)</f>
        <v/>
      </c>
    </row>
    <row r="25">
      <c r="A25" s="7" t="inlineStr">
        <is>
          <t>Inventory and other operating assets</t>
        </is>
      </c>
      <c r="B25" s="8">
        <f>IFERROR(B16/Assumptions_and_Inputs!$B$24*Assumptions_and_Inputs!$B$11,0)</f>
        <v/>
      </c>
      <c r="C25" s="8">
        <f>IFERROR(C16/Assumptions_and_Inputs!$B$24*Assumptions_and_Inputs!$B$11,0)</f>
        <v/>
      </c>
      <c r="D25" s="8">
        <f>IFERROR(D16/Assumptions_and_Inputs!$B$24*Assumptions_and_Inputs!$B$11,0)</f>
        <v/>
      </c>
      <c r="E25" s="8">
        <f>IFERROR(E16/Assumptions_and_Inputs!$B$24*Assumptions_and_Inputs!$B$11,0)</f>
        <v/>
      </c>
      <c r="F25" s="8">
        <f>IFERROR(F16/Assumptions_and_Inputs!$B$24*Assumptions_and_Inputs!$B$11,0)</f>
        <v/>
      </c>
    </row>
    <row r="26">
      <c r="A26" s="7" t="inlineStr">
        <is>
          <t>Accounts payable / current liabilities</t>
        </is>
      </c>
      <c r="B26" s="8">
        <f>IFERROR(B16/Assumptions_and_Inputs!$B$24*Assumptions_and_Inputs!$B$12,0)</f>
        <v/>
      </c>
      <c r="C26" s="8">
        <f>IFERROR(C16/Assumptions_and_Inputs!$B$24*Assumptions_and_Inputs!$B$12,0)</f>
        <v/>
      </c>
      <c r="D26" s="8">
        <f>IFERROR(D16/Assumptions_and_Inputs!$B$24*Assumptions_and_Inputs!$B$12,0)</f>
        <v/>
      </c>
      <c r="E26" s="8">
        <f>IFERROR(E16/Assumptions_and_Inputs!$B$24*Assumptions_and_Inputs!$B$12,0)</f>
        <v/>
      </c>
      <c r="F26" s="8">
        <f>IFERROR(F16/Assumptions_and_Inputs!$B$24*Assumptions_and_Inputs!$B$12,0)</f>
        <v/>
      </c>
    </row>
    <row r="27">
      <c r="A27" s="7" t="inlineStr">
        <is>
          <t>Capital expenditure</t>
        </is>
      </c>
      <c r="B27" s="8">
        <f>B15*Assumptions_and_Inputs!$B$13</f>
        <v/>
      </c>
      <c r="C27" s="8">
        <f>C15*Assumptions_and_Inputs!$B$13</f>
        <v/>
      </c>
      <c r="D27" s="8">
        <f>D15*Assumptions_and_Inputs!$B$13</f>
        <v/>
      </c>
      <c r="E27" s="8">
        <f>E15*Assumptions_and_Inputs!$B$13</f>
        <v/>
      </c>
      <c r="F27" s="8">
        <f>F15*Assumptions_and_Inputs!$B$13</f>
        <v/>
      </c>
    </row>
    <row r="28">
      <c r="A28" s="7" t="inlineStr">
        <is>
          <t>Opening net PP&amp;E</t>
        </is>
      </c>
      <c r="B28" s="8">
        <f>Historical_Data!$D$12</f>
        <v/>
      </c>
      <c r="C28" s="8">
        <f>B29</f>
        <v/>
      </c>
      <c r="D28" s="8">
        <f>C29</f>
        <v/>
      </c>
      <c r="E28" s="8">
        <f>D29</f>
        <v/>
      </c>
      <c r="F28" s="8">
        <f>E29</f>
        <v/>
      </c>
    </row>
    <row r="29">
      <c r="A29" s="7" t="inlineStr">
        <is>
          <t>Closing net PP&amp;E</t>
        </is>
      </c>
      <c r="B29" s="8">
        <f>MAX(0,B28+B27-B19)</f>
        <v/>
      </c>
      <c r="C29" s="8">
        <f>MAX(0,C28+C27-C19)</f>
        <v/>
      </c>
      <c r="D29" s="8">
        <f>MAX(0,D28+D27-D19)</f>
        <v/>
      </c>
      <c r="E29" s="8">
        <f>MAX(0,E28+E27-E19)</f>
        <v/>
      </c>
      <c r="F29" s="8">
        <f>MAX(0,F28+F27-F19)</f>
        <v/>
      </c>
    </row>
    <row r="30">
      <c r="A30" s="7" t="inlineStr">
        <is>
          <t>Opening cash</t>
        </is>
      </c>
      <c r="B30" s="8">
        <f>Historical_Data!$D$16</f>
        <v/>
      </c>
      <c r="C30" s="8">
        <f>B38</f>
        <v/>
      </c>
      <c r="D30" s="8">
        <f>C38</f>
        <v/>
      </c>
      <c r="E30" s="8">
        <f>D38</f>
        <v/>
      </c>
      <c r="F30" s="8">
        <f>E38</f>
        <v/>
      </c>
    </row>
    <row r="31">
      <c r="A31" s="7" t="inlineStr">
        <is>
          <t>Cash from operations</t>
        </is>
      </c>
      <c r="B31" s="8">
        <f>B23+B19-(B24-Historical_Data!$D$15)-(B25-(Historical_Data!$D$13-Historical_Data!$D$15-Historical_Data!$D$16))+(B26-Historical_Data!$D$18)</f>
        <v/>
      </c>
      <c r="C31" s="8">
        <f>C23+C19-(C24-B24)-(C25-B25)+(C26-B26)</f>
        <v/>
      </c>
      <c r="D31" s="8">
        <f>D23+D19-(D24-C24)-(D25-C25)+(D26-C26)</f>
        <v/>
      </c>
      <c r="E31" s="8">
        <f>E23+E19-(E24-D24)-(E25-D25)+(E26-D26)</f>
        <v/>
      </c>
      <c r="F31" s="8">
        <f>F23+F19-(F24-E24)-(F25-E25)+(F26-E26)</f>
        <v/>
      </c>
    </row>
    <row r="32">
      <c r="A32" s="7" t="inlineStr">
        <is>
          <t>Dividends</t>
        </is>
      </c>
      <c r="B32" s="8">
        <f>MAX(0,B23)*Assumptions_and_Inputs!$B$18</f>
        <v/>
      </c>
      <c r="C32" s="8">
        <f>MAX(0,C23)*Assumptions_and_Inputs!$B$18</f>
        <v/>
      </c>
      <c r="D32" s="8">
        <f>MAX(0,D23)*Assumptions_and_Inputs!$B$18</f>
        <v/>
      </c>
      <c r="E32" s="8">
        <f>MAX(0,E23)*Assumptions_and_Inputs!$B$18</f>
        <v/>
      </c>
      <c r="F32" s="8">
        <f>MAX(0,F23)*Assumptions_and_Inputs!$B$18</f>
        <v/>
      </c>
    </row>
    <row r="33">
      <c r="A33" s="7" t="inlineStr">
        <is>
          <t>Cash before financing</t>
        </is>
      </c>
      <c r="B33" s="8">
        <f>B30+B31-B27-B32</f>
        <v/>
      </c>
      <c r="C33" s="8">
        <f>C30+C31-C27-C32</f>
        <v/>
      </c>
      <c r="D33" s="8">
        <f>D30+D31-D27-D32</f>
        <v/>
      </c>
      <c r="E33" s="8">
        <f>E30+E31-E27-E32</f>
        <v/>
      </c>
      <c r="F33" s="8">
        <f>F30+F31-F27-F32</f>
        <v/>
      </c>
    </row>
    <row r="34">
      <c r="A34" s="7" t="inlineStr">
        <is>
          <t>Opening revolver debt</t>
        </is>
      </c>
      <c r="B34" s="8">
        <f>IFERROR(Historical_Data!$D$19,0)</f>
        <v/>
      </c>
      <c r="C34" s="8">
        <f>B37</f>
        <v/>
      </c>
      <c r="D34" s="8">
        <f>C37</f>
        <v/>
      </c>
      <c r="E34" s="8">
        <f>D37</f>
        <v/>
      </c>
      <c r="F34" s="8">
        <f>E37</f>
        <v/>
      </c>
    </row>
    <row r="35">
      <c r="A35" s="7" t="inlineStr">
        <is>
          <t>Revolver draw</t>
        </is>
      </c>
      <c r="B35" s="8">
        <f>MIN(MAX(0,Assumptions_and_Inputs!$B$20-B34),MAX(0,Assumptions_and_Inputs!$B$19-B33))</f>
        <v/>
      </c>
      <c r="C35" s="8">
        <f>MIN(MAX(0,Assumptions_and_Inputs!$B$20-C34),MAX(0,Assumptions_and_Inputs!$B$19-C33))</f>
        <v/>
      </c>
      <c r="D35" s="8">
        <f>MIN(MAX(0,Assumptions_and_Inputs!$B$20-D34),MAX(0,Assumptions_and_Inputs!$B$19-D33))</f>
        <v/>
      </c>
      <c r="E35" s="8">
        <f>MIN(MAX(0,Assumptions_and_Inputs!$B$20-E34),MAX(0,Assumptions_and_Inputs!$B$19-E33))</f>
        <v/>
      </c>
      <c r="F35" s="8">
        <f>MIN(MAX(0,Assumptions_and_Inputs!$B$20-F34),MAX(0,Assumptions_and_Inputs!$B$19-F33))</f>
        <v/>
      </c>
    </row>
    <row r="36">
      <c r="A36" s="7" t="inlineStr">
        <is>
          <t>Revolver repayment</t>
        </is>
      </c>
      <c r="B36" s="8">
        <f>MIN(B34+B35,MAX(0,B33-Assumptions_and_Inputs!$B$19)*Assumptions_and_Inputs!$B$21)</f>
        <v/>
      </c>
      <c r="C36" s="8">
        <f>MIN(C34+C35,MAX(0,C33-Assumptions_and_Inputs!$B$19)*Assumptions_and_Inputs!$B$21)</f>
        <v/>
      </c>
      <c r="D36" s="8">
        <f>MIN(D34+D35,MAX(0,D33-Assumptions_and_Inputs!$B$19)*Assumptions_and_Inputs!$B$21)</f>
        <v/>
      </c>
      <c r="E36" s="8">
        <f>MIN(E34+E35,MAX(0,E33-Assumptions_and_Inputs!$B$19)*Assumptions_and_Inputs!$B$21)</f>
        <v/>
      </c>
      <c r="F36" s="8">
        <f>MIN(F34+F35,MAX(0,F33-Assumptions_and_Inputs!$B$19)*Assumptions_and_Inputs!$B$21)</f>
        <v/>
      </c>
    </row>
    <row r="37">
      <c r="A37" s="7" t="inlineStr">
        <is>
          <t>Closing revolver debt</t>
        </is>
      </c>
      <c r="B37" s="8">
        <f>B34+B35-B36</f>
        <v/>
      </c>
      <c r="C37" s="8">
        <f>C34+C35-C36</f>
        <v/>
      </c>
      <c r="D37" s="8">
        <f>D34+D35-D36</f>
        <v/>
      </c>
      <c r="E37" s="8">
        <f>E34+E35-E36</f>
        <v/>
      </c>
      <c r="F37" s="8">
        <f>F34+F35-F36</f>
        <v/>
      </c>
    </row>
    <row r="38">
      <c r="A38" s="7" t="inlineStr">
        <is>
          <t>Ending cash</t>
        </is>
      </c>
      <c r="B38" s="8">
        <f>B33+B35-B36</f>
        <v/>
      </c>
      <c r="C38" s="8">
        <f>C33+C35-C36</f>
        <v/>
      </c>
      <c r="D38" s="8">
        <f>D33+D35-D36</f>
        <v/>
      </c>
      <c r="E38" s="8">
        <f>E33+E35-E36</f>
        <v/>
      </c>
      <c r="F38" s="8">
        <f>F33+F35-F36</f>
        <v/>
      </c>
    </row>
    <row r="39">
      <c r="A39" s="7" t="inlineStr">
        <is>
          <t>Opening shareholders' equity</t>
        </is>
      </c>
      <c r="B39" s="8">
        <f>Historical_Data!$D$21</f>
        <v/>
      </c>
      <c r="C39" s="8">
        <f>B40</f>
        <v/>
      </c>
      <c r="D39" s="8">
        <f>C40</f>
        <v/>
      </c>
      <c r="E39" s="8">
        <f>D40</f>
        <v/>
      </c>
      <c r="F39" s="8">
        <f>E40</f>
        <v/>
      </c>
    </row>
    <row r="40">
      <c r="A40" s="7" t="inlineStr">
        <is>
          <t>Closing shareholders' equity</t>
        </is>
      </c>
      <c r="B40" s="8">
        <f>B39+B23-B32</f>
        <v/>
      </c>
      <c r="C40" s="8">
        <f>C39+C23-C32</f>
        <v/>
      </c>
      <c r="D40" s="8">
        <f>D39+D23-D32</f>
        <v/>
      </c>
      <c r="E40" s="8">
        <f>E39+E23-E32</f>
        <v/>
      </c>
      <c r="F40" s="8">
        <f>F39+F23-F32</f>
        <v/>
      </c>
    </row>
    <row r="41">
      <c r="A41" s="7" t="inlineStr">
        <is>
          <t>Balance sheet difference</t>
        </is>
      </c>
      <c r="B41" s="8">
        <f>B38+B24+B25+B29-B26-B37-B40</f>
        <v/>
      </c>
      <c r="C41" s="8">
        <f>C38+C24+C25+C29-C26-C37-C40</f>
        <v/>
      </c>
      <c r="D41" s="8">
        <f>D38+D24+D25+D29-D26-D37-D40</f>
        <v/>
      </c>
      <c r="E41" s="8">
        <f>E38+E24+E25+E29-E26-E37-E40</f>
        <v/>
      </c>
      <c r="F41" s="8">
        <f>F38+F24+F25+F29-F26-F37-F40</f>
        <v/>
      </c>
    </row>
    <row r="42">
      <c r="A42" s="7" t="inlineStr">
        <is>
          <t>Liquidity flag (1 = breach)</t>
        </is>
      </c>
      <c r="B42" s="8">
        <f>IF(OR(B38&lt;0,B37&gt;Assumptions_and_Inputs!$B$20),1,0)</f>
        <v/>
      </c>
      <c r="C42" s="8">
        <f>IF(OR(C38&lt;0,C37&gt;Assumptions_and_Inputs!$B$20),1,0)</f>
        <v/>
      </c>
      <c r="D42" s="8">
        <f>IF(OR(D38&lt;0,D37&gt;Assumptions_and_Inputs!$B$20),1,0)</f>
        <v/>
      </c>
      <c r="E42" s="8">
        <f>IF(OR(E38&lt;0,E37&gt;Assumptions_and_Inputs!$B$20),1,0)</f>
        <v/>
      </c>
      <c r="F42" s="8">
        <f>IF(OR(F38&lt;0,F37&gt;Assumptions_and_Inputs!$B$20),1,0)</f>
        <v/>
      </c>
    </row>
    <row r="43">
      <c r="A43" s="5" t="inlineStr">
        <is>
          <t>Bull Case | Five-year integrated scenario schedule</t>
        </is>
      </c>
    </row>
    <row r="44">
      <c r="A44" s="6" t="inlineStr">
        <is>
          <t>Forecast year</t>
        </is>
      </c>
      <c r="B44" s="6" t="n">
        <v>2026</v>
      </c>
      <c r="C44" s="6" t="n">
        <v>2027</v>
      </c>
      <c r="D44" s="6" t="n">
        <v>2028</v>
      </c>
      <c r="E44" s="6" t="n">
        <v>2029</v>
      </c>
      <c r="F44" s="6" t="n">
        <v>2030</v>
      </c>
    </row>
    <row r="45">
      <c r="A45" s="7" t="inlineStr">
        <is>
          <t>Revenue</t>
        </is>
      </c>
      <c r="B45" s="8">
        <f>Historical_Data!$D$5*(1+Assumptions_and_Inputs!$C$6)*(1+Assumptions_and_Inputs!$C$7)</f>
        <v/>
      </c>
      <c r="C45" s="8">
        <f>B45*(1+Assumptions_and_Inputs!$C$6)*(1+Assumptions_and_Inputs!$C$7)</f>
        <v/>
      </c>
      <c r="D45" s="8">
        <f>C45*(1+Assumptions_and_Inputs!$C$6)*(1+Assumptions_and_Inputs!$C$7)</f>
        <v/>
      </c>
      <c r="E45" s="8">
        <f>D45*(1+Assumptions_and_Inputs!$C$6)*(1+Assumptions_and_Inputs!$C$7)</f>
        <v/>
      </c>
      <c r="F45" s="8">
        <f>E45*(1+Assumptions_and_Inputs!$C$6)*(1+Assumptions_and_Inputs!$C$7)</f>
        <v/>
      </c>
    </row>
    <row r="46">
      <c r="A46" s="7" t="inlineStr">
        <is>
          <t>Non-personnel operating costs</t>
        </is>
      </c>
      <c r="B46" s="8">
        <f>B45*Assumptions_and_Inputs!$C$8</f>
        <v/>
      </c>
      <c r="C46" s="8">
        <f>C45*Assumptions_and_Inputs!$C$8</f>
        <v/>
      </c>
      <c r="D46" s="8">
        <f>D45*Assumptions_and_Inputs!$C$8</f>
        <v/>
      </c>
      <c r="E46" s="8">
        <f>E45*Assumptions_and_Inputs!$C$8</f>
        <v/>
      </c>
      <c r="F46" s="8">
        <f>F45*Assumptions_and_Inputs!$C$8</f>
        <v/>
      </c>
    </row>
    <row r="47">
      <c r="A47" s="7" t="inlineStr">
        <is>
          <t>Personnel expenses</t>
        </is>
      </c>
      <c r="B47" s="8">
        <f>Historical_Data!$D$7*(1+Assumptions_and_Inputs!$C$6)*(1+Assumptions_and_Inputs!$C$9)</f>
        <v/>
      </c>
      <c r="C47" s="8">
        <f>B47*(1+Assumptions_and_Inputs!$C$6)*(1+Assumptions_and_Inputs!$C$9)</f>
        <v/>
      </c>
      <c r="D47" s="8">
        <f>C47*(1+Assumptions_and_Inputs!$C$6)*(1+Assumptions_and_Inputs!$C$9)</f>
        <v/>
      </c>
      <c r="E47" s="8">
        <f>D47*(1+Assumptions_and_Inputs!$C$6)*(1+Assumptions_and_Inputs!$C$9)</f>
        <v/>
      </c>
      <c r="F47" s="8">
        <f>E47*(1+Assumptions_and_Inputs!$C$6)*(1+Assumptions_and_Inputs!$C$9)</f>
        <v/>
      </c>
    </row>
    <row r="48">
      <c r="A48" s="7" t="inlineStr">
        <is>
          <t>EBITDA</t>
        </is>
      </c>
      <c r="B48" s="8">
        <f>B45-B46-B47</f>
        <v/>
      </c>
      <c r="C48" s="8">
        <f>C45-C46-C47</f>
        <v/>
      </c>
      <c r="D48" s="8">
        <f>D45-D46-D47</f>
        <v/>
      </c>
      <c r="E48" s="8">
        <f>E45-E46-E47</f>
        <v/>
      </c>
      <c r="F48" s="8">
        <f>F45-F46-F47</f>
        <v/>
      </c>
    </row>
    <row r="49">
      <c r="A49" s="7" t="inlineStr">
        <is>
          <t>Depreciation and amortization</t>
        </is>
      </c>
      <c r="B49" s="8">
        <f>MIN(B58+B57,(B58+B57/2)*Assumptions_and_Inputs!$C$14)</f>
        <v/>
      </c>
      <c r="C49" s="8">
        <f>MIN(C58+C57,(C58+C57/2)*Assumptions_and_Inputs!$C$14)</f>
        <v/>
      </c>
      <c r="D49" s="8">
        <f>MIN(D58+D57,(D58+D57/2)*Assumptions_and_Inputs!$C$14)</f>
        <v/>
      </c>
      <c r="E49" s="8">
        <f>MIN(E58+E57,(E58+E57/2)*Assumptions_and_Inputs!$C$14)</f>
        <v/>
      </c>
      <c r="F49" s="8">
        <f>MIN(F58+F57,(F58+F57/2)*Assumptions_and_Inputs!$C$14)</f>
        <v/>
      </c>
    </row>
    <row r="50">
      <c r="A50" s="7" t="inlineStr">
        <is>
          <t>EBIT</t>
        </is>
      </c>
      <c r="B50" s="8">
        <f>B48-B49</f>
        <v/>
      </c>
      <c r="C50" s="8">
        <f>C48-C49</f>
        <v/>
      </c>
      <c r="D50" s="8">
        <f>D48-D49</f>
        <v/>
      </c>
      <c r="E50" s="8">
        <f>E48-E49</f>
        <v/>
      </c>
      <c r="F50" s="8">
        <f>F48-F49</f>
        <v/>
      </c>
    </row>
    <row r="51">
      <c r="A51" s="7" t="inlineStr">
        <is>
          <t>Cash interest income</t>
        </is>
      </c>
      <c r="B51" s="8">
        <f>B60*Assumptions_and_Inputs!$C$15</f>
        <v/>
      </c>
      <c r="C51" s="8">
        <f>C60*Assumptions_and_Inputs!$C$15</f>
        <v/>
      </c>
      <c r="D51" s="8">
        <f>D60*Assumptions_and_Inputs!$C$15</f>
        <v/>
      </c>
      <c r="E51" s="8">
        <f>E60*Assumptions_and_Inputs!$C$15</f>
        <v/>
      </c>
      <c r="F51" s="8">
        <f>F60*Assumptions_and_Inputs!$C$15</f>
        <v/>
      </c>
    </row>
    <row r="52">
      <c r="A52" s="7" t="inlineStr">
        <is>
          <t>Revolver interest expense</t>
        </is>
      </c>
      <c r="B52" s="8">
        <f>B64*Assumptions_and_Inputs!$C$16</f>
        <v/>
      </c>
      <c r="C52" s="8">
        <f>C64*Assumptions_and_Inputs!$C$16</f>
        <v/>
      </c>
      <c r="D52" s="8">
        <f>D64*Assumptions_and_Inputs!$C$16</f>
        <v/>
      </c>
      <c r="E52" s="8">
        <f>E64*Assumptions_and_Inputs!$C$16</f>
        <v/>
      </c>
      <c r="F52" s="8">
        <f>F64*Assumptions_and_Inputs!$C$16</f>
        <v/>
      </c>
    </row>
    <row r="53">
      <c r="A53" s="7" t="inlineStr">
        <is>
          <t>Net income</t>
        </is>
      </c>
      <c r="B53" s="8">
        <f>B50+B51-B52-MAX(0,B50+B51-B52)*Assumptions_and_Inputs!$C$17</f>
        <v/>
      </c>
      <c r="C53" s="8">
        <f>C50+C51-C52-MAX(0,C50+C51-C52)*Assumptions_and_Inputs!$C$17</f>
        <v/>
      </c>
      <c r="D53" s="8">
        <f>D50+D51-D52-MAX(0,D50+D51-D52)*Assumptions_and_Inputs!$C$17</f>
        <v/>
      </c>
      <c r="E53" s="8">
        <f>E50+E51-E52-MAX(0,E50+E51-E52)*Assumptions_and_Inputs!$C$17</f>
        <v/>
      </c>
      <c r="F53" s="8">
        <f>F50+F51-F52-MAX(0,F50+F51-F52)*Assumptions_and_Inputs!$C$17</f>
        <v/>
      </c>
    </row>
    <row r="54">
      <c r="A54" s="7" t="inlineStr">
        <is>
          <t>Accounts receivable</t>
        </is>
      </c>
      <c r="B54" s="8">
        <f>IFERROR(B45/Assumptions_and_Inputs!$B$24*Assumptions_and_Inputs!$C$10,0)</f>
        <v/>
      </c>
      <c r="C54" s="8">
        <f>IFERROR(C45/Assumptions_and_Inputs!$B$24*Assumptions_and_Inputs!$C$10,0)</f>
        <v/>
      </c>
      <c r="D54" s="8">
        <f>IFERROR(D45/Assumptions_and_Inputs!$B$24*Assumptions_and_Inputs!$C$10,0)</f>
        <v/>
      </c>
      <c r="E54" s="8">
        <f>IFERROR(E45/Assumptions_and_Inputs!$B$24*Assumptions_and_Inputs!$C$10,0)</f>
        <v/>
      </c>
      <c r="F54" s="8">
        <f>IFERROR(F45/Assumptions_and_Inputs!$B$24*Assumptions_and_Inputs!$C$10,0)</f>
        <v/>
      </c>
    </row>
    <row r="55">
      <c r="A55" s="7" t="inlineStr">
        <is>
          <t>Inventory and other operating assets</t>
        </is>
      </c>
      <c r="B55" s="8">
        <f>IFERROR(B46/Assumptions_and_Inputs!$B$24*Assumptions_and_Inputs!$C$11,0)</f>
        <v/>
      </c>
      <c r="C55" s="8">
        <f>IFERROR(C46/Assumptions_and_Inputs!$B$24*Assumptions_and_Inputs!$C$11,0)</f>
        <v/>
      </c>
      <c r="D55" s="8">
        <f>IFERROR(D46/Assumptions_and_Inputs!$B$24*Assumptions_and_Inputs!$C$11,0)</f>
        <v/>
      </c>
      <c r="E55" s="8">
        <f>IFERROR(E46/Assumptions_and_Inputs!$B$24*Assumptions_and_Inputs!$C$11,0)</f>
        <v/>
      </c>
      <c r="F55" s="8">
        <f>IFERROR(F46/Assumptions_and_Inputs!$B$24*Assumptions_and_Inputs!$C$11,0)</f>
        <v/>
      </c>
    </row>
    <row r="56">
      <c r="A56" s="7" t="inlineStr">
        <is>
          <t>Accounts payable / current liabilities</t>
        </is>
      </c>
      <c r="B56" s="8">
        <f>IFERROR(B46/Assumptions_and_Inputs!$B$24*Assumptions_and_Inputs!$C$12,0)</f>
        <v/>
      </c>
      <c r="C56" s="8">
        <f>IFERROR(C46/Assumptions_and_Inputs!$B$24*Assumptions_and_Inputs!$C$12,0)</f>
        <v/>
      </c>
      <c r="D56" s="8">
        <f>IFERROR(D46/Assumptions_and_Inputs!$B$24*Assumptions_and_Inputs!$C$12,0)</f>
        <v/>
      </c>
      <c r="E56" s="8">
        <f>IFERROR(E46/Assumptions_and_Inputs!$B$24*Assumptions_and_Inputs!$C$12,0)</f>
        <v/>
      </c>
      <c r="F56" s="8">
        <f>IFERROR(F46/Assumptions_and_Inputs!$B$24*Assumptions_and_Inputs!$C$12,0)</f>
        <v/>
      </c>
    </row>
    <row r="57">
      <c r="A57" s="7" t="inlineStr">
        <is>
          <t>Capital expenditure</t>
        </is>
      </c>
      <c r="B57" s="8">
        <f>B45*Assumptions_and_Inputs!$C$13</f>
        <v/>
      </c>
      <c r="C57" s="8">
        <f>C45*Assumptions_and_Inputs!$C$13</f>
        <v/>
      </c>
      <c r="D57" s="8">
        <f>D45*Assumptions_and_Inputs!$C$13</f>
        <v/>
      </c>
      <c r="E57" s="8">
        <f>E45*Assumptions_and_Inputs!$C$13</f>
        <v/>
      </c>
      <c r="F57" s="8">
        <f>F45*Assumptions_and_Inputs!$C$13</f>
        <v/>
      </c>
    </row>
    <row r="58">
      <c r="A58" s="7" t="inlineStr">
        <is>
          <t>Opening net PP&amp;E</t>
        </is>
      </c>
      <c r="B58" s="8">
        <f>Historical_Data!$D$12</f>
        <v/>
      </c>
      <c r="C58" s="8">
        <f>B59</f>
        <v/>
      </c>
      <c r="D58" s="8">
        <f>C59</f>
        <v/>
      </c>
      <c r="E58" s="8">
        <f>D59</f>
        <v/>
      </c>
      <c r="F58" s="8">
        <f>E59</f>
        <v/>
      </c>
    </row>
    <row r="59">
      <c r="A59" s="7" t="inlineStr">
        <is>
          <t>Closing net PP&amp;E</t>
        </is>
      </c>
      <c r="B59" s="8">
        <f>MAX(0,B58+B57-B49)</f>
        <v/>
      </c>
      <c r="C59" s="8">
        <f>MAX(0,C58+C57-C49)</f>
        <v/>
      </c>
      <c r="D59" s="8">
        <f>MAX(0,D58+D57-D49)</f>
        <v/>
      </c>
      <c r="E59" s="8">
        <f>MAX(0,E58+E57-E49)</f>
        <v/>
      </c>
      <c r="F59" s="8">
        <f>MAX(0,F58+F57-F49)</f>
        <v/>
      </c>
    </row>
    <row r="60">
      <c r="A60" s="7" t="inlineStr">
        <is>
          <t>Opening cash</t>
        </is>
      </c>
      <c r="B60" s="8">
        <f>Historical_Data!$D$16</f>
        <v/>
      </c>
      <c r="C60" s="8">
        <f>B68</f>
        <v/>
      </c>
      <c r="D60" s="8">
        <f>C68</f>
        <v/>
      </c>
      <c r="E60" s="8">
        <f>D68</f>
        <v/>
      </c>
      <c r="F60" s="8">
        <f>E68</f>
        <v/>
      </c>
    </row>
    <row r="61">
      <c r="A61" s="7" t="inlineStr">
        <is>
          <t>Cash from operations</t>
        </is>
      </c>
      <c r="B61" s="8">
        <f>B53+B49-(B54-Historical_Data!$D$15)-(B55-(Historical_Data!$D$13-Historical_Data!$D$15-Historical_Data!$D$16))+(B56-Historical_Data!$D$18)</f>
        <v/>
      </c>
      <c r="C61" s="8">
        <f>C53+C49-(C54-B54)-(C55-B55)+(C56-B56)</f>
        <v/>
      </c>
      <c r="D61" s="8">
        <f>D53+D49-(D54-C54)-(D55-C55)+(D56-C56)</f>
        <v/>
      </c>
      <c r="E61" s="8">
        <f>E53+E49-(E54-D54)-(E55-D55)+(E56-D56)</f>
        <v/>
      </c>
      <c r="F61" s="8">
        <f>F53+F49-(F54-E54)-(F55-E55)+(F56-E56)</f>
        <v/>
      </c>
    </row>
    <row r="62">
      <c r="A62" s="7" t="inlineStr">
        <is>
          <t>Dividends</t>
        </is>
      </c>
      <c r="B62" s="8">
        <f>MAX(0,B53)*Assumptions_and_Inputs!$C$18</f>
        <v/>
      </c>
      <c r="C62" s="8">
        <f>MAX(0,C53)*Assumptions_and_Inputs!$C$18</f>
        <v/>
      </c>
      <c r="D62" s="8">
        <f>MAX(0,D53)*Assumptions_and_Inputs!$C$18</f>
        <v/>
      </c>
      <c r="E62" s="8">
        <f>MAX(0,E53)*Assumptions_and_Inputs!$C$18</f>
        <v/>
      </c>
      <c r="F62" s="8">
        <f>MAX(0,F53)*Assumptions_and_Inputs!$C$18</f>
        <v/>
      </c>
    </row>
    <row r="63">
      <c r="A63" s="7" t="inlineStr">
        <is>
          <t>Cash before financing</t>
        </is>
      </c>
      <c r="B63" s="8">
        <f>B60+B61-B57-B62</f>
        <v/>
      </c>
      <c r="C63" s="8">
        <f>C60+C61-C57-C62</f>
        <v/>
      </c>
      <c r="D63" s="8">
        <f>D60+D61-D57-D62</f>
        <v/>
      </c>
      <c r="E63" s="8">
        <f>E60+E61-E57-E62</f>
        <v/>
      </c>
      <c r="F63" s="8">
        <f>F60+F61-F57-F62</f>
        <v/>
      </c>
    </row>
    <row r="64">
      <c r="A64" s="7" t="inlineStr">
        <is>
          <t>Opening revolver debt</t>
        </is>
      </c>
      <c r="B64" s="8">
        <f>IFERROR(Historical_Data!$D$19,0)</f>
        <v/>
      </c>
      <c r="C64" s="8">
        <f>B67</f>
        <v/>
      </c>
      <c r="D64" s="8">
        <f>C67</f>
        <v/>
      </c>
      <c r="E64" s="8">
        <f>D67</f>
        <v/>
      </c>
      <c r="F64" s="8">
        <f>E67</f>
        <v/>
      </c>
    </row>
    <row r="65">
      <c r="A65" s="7" t="inlineStr">
        <is>
          <t>Revolver draw</t>
        </is>
      </c>
      <c r="B65" s="8">
        <f>MIN(MAX(0,Assumptions_and_Inputs!$C$20-B64),MAX(0,Assumptions_and_Inputs!$C$19-B63))</f>
        <v/>
      </c>
      <c r="C65" s="8">
        <f>MIN(MAX(0,Assumptions_and_Inputs!$C$20-C64),MAX(0,Assumptions_and_Inputs!$C$19-C63))</f>
        <v/>
      </c>
      <c r="D65" s="8">
        <f>MIN(MAX(0,Assumptions_and_Inputs!$C$20-D64),MAX(0,Assumptions_and_Inputs!$C$19-D63))</f>
        <v/>
      </c>
      <c r="E65" s="8">
        <f>MIN(MAX(0,Assumptions_and_Inputs!$C$20-E64),MAX(0,Assumptions_and_Inputs!$C$19-E63))</f>
        <v/>
      </c>
      <c r="F65" s="8">
        <f>MIN(MAX(0,Assumptions_and_Inputs!$C$20-F64),MAX(0,Assumptions_and_Inputs!$C$19-F63))</f>
        <v/>
      </c>
    </row>
    <row r="66">
      <c r="A66" s="7" t="inlineStr">
        <is>
          <t>Revolver repayment</t>
        </is>
      </c>
      <c r="B66" s="8">
        <f>MIN(B64+B65,MAX(0,B63-Assumptions_and_Inputs!$C$19)*Assumptions_and_Inputs!$C$21)</f>
        <v/>
      </c>
      <c r="C66" s="8">
        <f>MIN(C64+C65,MAX(0,C63-Assumptions_and_Inputs!$C$19)*Assumptions_and_Inputs!$C$21)</f>
        <v/>
      </c>
      <c r="D66" s="8">
        <f>MIN(D64+D65,MAX(0,D63-Assumptions_and_Inputs!$C$19)*Assumptions_and_Inputs!$C$21)</f>
        <v/>
      </c>
      <c r="E66" s="8">
        <f>MIN(E64+E65,MAX(0,E63-Assumptions_and_Inputs!$C$19)*Assumptions_and_Inputs!$C$21)</f>
        <v/>
      </c>
      <c r="F66" s="8">
        <f>MIN(F64+F65,MAX(0,F63-Assumptions_and_Inputs!$C$19)*Assumptions_and_Inputs!$C$21)</f>
        <v/>
      </c>
    </row>
    <row r="67">
      <c r="A67" s="7" t="inlineStr">
        <is>
          <t>Closing revolver debt</t>
        </is>
      </c>
      <c r="B67" s="8">
        <f>B64+B65-B66</f>
        <v/>
      </c>
      <c r="C67" s="8">
        <f>C64+C65-C66</f>
        <v/>
      </c>
      <c r="D67" s="8">
        <f>D64+D65-D66</f>
        <v/>
      </c>
      <c r="E67" s="8">
        <f>E64+E65-E66</f>
        <v/>
      </c>
      <c r="F67" s="8">
        <f>F64+F65-F66</f>
        <v/>
      </c>
    </row>
    <row r="68">
      <c r="A68" s="7" t="inlineStr">
        <is>
          <t>Ending cash</t>
        </is>
      </c>
      <c r="B68" s="8">
        <f>B63+B65-B66</f>
        <v/>
      </c>
      <c r="C68" s="8">
        <f>C63+C65-C66</f>
        <v/>
      </c>
      <c r="D68" s="8">
        <f>D63+D65-D66</f>
        <v/>
      </c>
      <c r="E68" s="8">
        <f>E63+E65-E66</f>
        <v/>
      </c>
      <c r="F68" s="8">
        <f>F63+F65-F66</f>
        <v/>
      </c>
    </row>
    <row r="69">
      <c r="A69" s="7" t="inlineStr">
        <is>
          <t>Opening shareholders' equity</t>
        </is>
      </c>
      <c r="B69" s="8">
        <f>Historical_Data!$D$21</f>
        <v/>
      </c>
      <c r="C69" s="8">
        <f>B70</f>
        <v/>
      </c>
      <c r="D69" s="8">
        <f>C70</f>
        <v/>
      </c>
      <c r="E69" s="8">
        <f>D70</f>
        <v/>
      </c>
      <c r="F69" s="8">
        <f>E70</f>
        <v/>
      </c>
    </row>
    <row r="70">
      <c r="A70" s="7" t="inlineStr">
        <is>
          <t>Closing shareholders' equity</t>
        </is>
      </c>
      <c r="B70" s="8">
        <f>B69+B53-B62</f>
        <v/>
      </c>
      <c r="C70" s="8">
        <f>C69+C53-C62</f>
        <v/>
      </c>
      <c r="D70" s="8">
        <f>D69+D53-D62</f>
        <v/>
      </c>
      <c r="E70" s="8">
        <f>E69+E53-E62</f>
        <v/>
      </c>
      <c r="F70" s="8">
        <f>F69+F53-F62</f>
        <v/>
      </c>
    </row>
    <row r="71">
      <c r="A71" s="7" t="inlineStr">
        <is>
          <t>Balance sheet difference</t>
        </is>
      </c>
      <c r="B71" s="8">
        <f>B68+B54+B55+B59-B56-B67-B70</f>
        <v/>
      </c>
      <c r="C71" s="8">
        <f>C68+C54+C55+C59-C56-C67-C70</f>
        <v/>
      </c>
      <c r="D71" s="8">
        <f>D68+D54+D55+D59-D56-D67-D70</f>
        <v/>
      </c>
      <c r="E71" s="8">
        <f>E68+E54+E55+E59-E56-E67-E70</f>
        <v/>
      </c>
      <c r="F71" s="8">
        <f>F68+F54+F55+F59-F56-F67-F70</f>
        <v/>
      </c>
    </row>
    <row r="72">
      <c r="A72" s="7" t="inlineStr">
        <is>
          <t>Liquidity flag (1 = breach)</t>
        </is>
      </c>
      <c r="B72" s="8">
        <f>IF(OR(B68&lt;0,B67&gt;Assumptions_and_Inputs!$C$20),1,0)</f>
        <v/>
      </c>
      <c r="C72" s="8">
        <f>IF(OR(C68&lt;0,C67&gt;Assumptions_and_Inputs!$C$20),1,0)</f>
        <v/>
      </c>
      <c r="D72" s="8">
        <f>IF(OR(D68&lt;0,D67&gt;Assumptions_and_Inputs!$C$20),1,0)</f>
        <v/>
      </c>
      <c r="E72" s="8">
        <f>IF(OR(E68&lt;0,E67&gt;Assumptions_and_Inputs!$C$20),1,0)</f>
        <v/>
      </c>
      <c r="F72" s="8">
        <f>IF(OR(F68&lt;0,F67&gt;Assumptions_and_Inputs!$C$20),1,0)</f>
        <v/>
      </c>
    </row>
    <row r="73">
      <c r="A73" s="5" t="inlineStr">
        <is>
          <t>Bear Case | Five-year integrated scenario schedule</t>
        </is>
      </c>
    </row>
    <row r="74">
      <c r="A74" s="6" t="inlineStr">
        <is>
          <t>Forecast year</t>
        </is>
      </c>
      <c r="B74" s="6" t="n">
        <v>2026</v>
      </c>
      <c r="C74" s="6" t="n">
        <v>2027</v>
      </c>
      <c r="D74" s="6" t="n">
        <v>2028</v>
      </c>
      <c r="E74" s="6" t="n">
        <v>2029</v>
      </c>
      <c r="F74" s="6" t="n">
        <v>2030</v>
      </c>
    </row>
    <row r="75">
      <c r="A75" s="7" t="inlineStr">
        <is>
          <t>Revenue</t>
        </is>
      </c>
      <c r="B75" s="8">
        <f>Historical_Data!$D$5*(1+Assumptions_and_Inputs!$D$6)*(1+Assumptions_and_Inputs!$D$7)</f>
        <v/>
      </c>
      <c r="C75" s="8">
        <f>B75*(1+Assumptions_and_Inputs!$D$6)*(1+Assumptions_and_Inputs!$D$7)</f>
        <v/>
      </c>
      <c r="D75" s="8">
        <f>C75*(1+Assumptions_and_Inputs!$D$6)*(1+Assumptions_and_Inputs!$D$7)</f>
        <v/>
      </c>
      <c r="E75" s="8">
        <f>D75*(1+Assumptions_and_Inputs!$D$6)*(1+Assumptions_and_Inputs!$D$7)</f>
        <v/>
      </c>
      <c r="F75" s="8">
        <f>E75*(1+Assumptions_and_Inputs!$D$6)*(1+Assumptions_and_Inputs!$D$7)</f>
        <v/>
      </c>
    </row>
    <row r="76">
      <c r="A76" s="7" t="inlineStr">
        <is>
          <t>Non-personnel operating costs</t>
        </is>
      </c>
      <c r="B76" s="8">
        <f>B75*Assumptions_and_Inputs!$D$8</f>
        <v/>
      </c>
      <c r="C76" s="8">
        <f>C75*Assumptions_and_Inputs!$D$8</f>
        <v/>
      </c>
      <c r="D76" s="8">
        <f>D75*Assumptions_and_Inputs!$D$8</f>
        <v/>
      </c>
      <c r="E76" s="8">
        <f>E75*Assumptions_and_Inputs!$D$8</f>
        <v/>
      </c>
      <c r="F76" s="8">
        <f>F75*Assumptions_and_Inputs!$D$8</f>
        <v/>
      </c>
    </row>
    <row r="77">
      <c r="A77" s="7" t="inlineStr">
        <is>
          <t>Personnel expenses</t>
        </is>
      </c>
      <c r="B77" s="8">
        <f>Historical_Data!$D$7*(1+Assumptions_and_Inputs!$D$6)*(1+Assumptions_and_Inputs!$D$9)</f>
        <v/>
      </c>
      <c r="C77" s="8">
        <f>B77*(1+Assumptions_and_Inputs!$D$6)*(1+Assumptions_and_Inputs!$D$9)</f>
        <v/>
      </c>
      <c r="D77" s="8">
        <f>C77*(1+Assumptions_and_Inputs!$D$6)*(1+Assumptions_and_Inputs!$D$9)</f>
        <v/>
      </c>
      <c r="E77" s="8">
        <f>D77*(1+Assumptions_and_Inputs!$D$6)*(1+Assumptions_and_Inputs!$D$9)</f>
        <v/>
      </c>
      <c r="F77" s="8">
        <f>E77*(1+Assumptions_and_Inputs!$D$6)*(1+Assumptions_and_Inputs!$D$9)</f>
        <v/>
      </c>
    </row>
    <row r="78">
      <c r="A78" s="7" t="inlineStr">
        <is>
          <t>EBITDA</t>
        </is>
      </c>
      <c r="B78" s="8">
        <f>B75-B76-B77</f>
        <v/>
      </c>
      <c r="C78" s="8">
        <f>C75-C76-C77</f>
        <v/>
      </c>
      <c r="D78" s="8">
        <f>D75-D76-D77</f>
        <v/>
      </c>
      <c r="E78" s="8">
        <f>E75-E76-E77</f>
        <v/>
      </c>
      <c r="F78" s="8">
        <f>F75-F76-F77</f>
        <v/>
      </c>
    </row>
    <row r="79">
      <c r="A79" s="7" t="inlineStr">
        <is>
          <t>Depreciation and amortization</t>
        </is>
      </c>
      <c r="B79" s="8">
        <f>MIN(B88+B87,(B88+B87/2)*Assumptions_and_Inputs!$D$14)</f>
        <v/>
      </c>
      <c r="C79" s="8">
        <f>MIN(C88+C87,(C88+C87/2)*Assumptions_and_Inputs!$D$14)</f>
        <v/>
      </c>
      <c r="D79" s="8">
        <f>MIN(D88+D87,(D88+D87/2)*Assumptions_and_Inputs!$D$14)</f>
        <v/>
      </c>
      <c r="E79" s="8">
        <f>MIN(E88+E87,(E88+E87/2)*Assumptions_and_Inputs!$D$14)</f>
        <v/>
      </c>
      <c r="F79" s="8">
        <f>MIN(F88+F87,(F88+F87/2)*Assumptions_and_Inputs!$D$14)</f>
        <v/>
      </c>
    </row>
    <row r="80">
      <c r="A80" s="7" t="inlineStr">
        <is>
          <t>EBIT</t>
        </is>
      </c>
      <c r="B80" s="8">
        <f>B78-B79</f>
        <v/>
      </c>
      <c r="C80" s="8">
        <f>C78-C79</f>
        <v/>
      </c>
      <c r="D80" s="8">
        <f>D78-D79</f>
        <v/>
      </c>
      <c r="E80" s="8">
        <f>E78-E79</f>
        <v/>
      </c>
      <c r="F80" s="8">
        <f>F78-F79</f>
        <v/>
      </c>
    </row>
    <row r="81">
      <c r="A81" s="7" t="inlineStr">
        <is>
          <t>Cash interest income</t>
        </is>
      </c>
      <c r="B81" s="8">
        <f>B90*Assumptions_and_Inputs!$D$15</f>
        <v/>
      </c>
      <c r="C81" s="8">
        <f>C90*Assumptions_and_Inputs!$D$15</f>
        <v/>
      </c>
      <c r="D81" s="8">
        <f>D90*Assumptions_and_Inputs!$D$15</f>
        <v/>
      </c>
      <c r="E81" s="8">
        <f>E90*Assumptions_and_Inputs!$D$15</f>
        <v/>
      </c>
      <c r="F81" s="8">
        <f>F90*Assumptions_and_Inputs!$D$15</f>
        <v/>
      </c>
    </row>
    <row r="82">
      <c r="A82" s="7" t="inlineStr">
        <is>
          <t>Revolver interest expense</t>
        </is>
      </c>
      <c r="B82" s="8">
        <f>B94*Assumptions_and_Inputs!$D$16</f>
        <v/>
      </c>
      <c r="C82" s="8">
        <f>C94*Assumptions_and_Inputs!$D$16</f>
        <v/>
      </c>
      <c r="D82" s="8">
        <f>D94*Assumptions_and_Inputs!$D$16</f>
        <v/>
      </c>
      <c r="E82" s="8">
        <f>E94*Assumptions_and_Inputs!$D$16</f>
        <v/>
      </c>
      <c r="F82" s="8">
        <f>F94*Assumptions_and_Inputs!$D$16</f>
        <v/>
      </c>
    </row>
    <row r="83">
      <c r="A83" s="7" t="inlineStr">
        <is>
          <t>Net income</t>
        </is>
      </c>
      <c r="B83" s="8">
        <f>B80+B81-B82-MAX(0,B80+B81-B82)*Assumptions_and_Inputs!$D$17</f>
        <v/>
      </c>
      <c r="C83" s="8">
        <f>C80+C81-C82-MAX(0,C80+C81-C82)*Assumptions_and_Inputs!$D$17</f>
        <v/>
      </c>
      <c r="D83" s="8">
        <f>D80+D81-D82-MAX(0,D80+D81-D82)*Assumptions_and_Inputs!$D$17</f>
        <v/>
      </c>
      <c r="E83" s="8">
        <f>E80+E81-E82-MAX(0,E80+E81-E82)*Assumptions_and_Inputs!$D$17</f>
        <v/>
      </c>
      <c r="F83" s="8">
        <f>F80+F81-F82-MAX(0,F80+F81-F82)*Assumptions_and_Inputs!$D$17</f>
        <v/>
      </c>
    </row>
    <row r="84">
      <c r="A84" s="7" t="inlineStr">
        <is>
          <t>Accounts receivable</t>
        </is>
      </c>
      <c r="B84" s="8">
        <f>IFERROR(B75/Assumptions_and_Inputs!$B$24*Assumptions_and_Inputs!$D$10,0)</f>
        <v/>
      </c>
      <c r="C84" s="8">
        <f>IFERROR(C75/Assumptions_and_Inputs!$B$24*Assumptions_and_Inputs!$D$10,0)</f>
        <v/>
      </c>
      <c r="D84" s="8">
        <f>IFERROR(D75/Assumptions_and_Inputs!$B$24*Assumptions_and_Inputs!$D$10,0)</f>
        <v/>
      </c>
      <c r="E84" s="8">
        <f>IFERROR(E75/Assumptions_and_Inputs!$B$24*Assumptions_and_Inputs!$D$10,0)</f>
        <v/>
      </c>
      <c r="F84" s="8">
        <f>IFERROR(F75/Assumptions_and_Inputs!$B$24*Assumptions_and_Inputs!$D$10,0)</f>
        <v/>
      </c>
    </row>
    <row r="85">
      <c r="A85" s="7" t="inlineStr">
        <is>
          <t>Inventory and other operating assets</t>
        </is>
      </c>
      <c r="B85" s="8">
        <f>IFERROR(B76/Assumptions_and_Inputs!$B$24*Assumptions_and_Inputs!$D$11,0)</f>
        <v/>
      </c>
      <c r="C85" s="8">
        <f>IFERROR(C76/Assumptions_and_Inputs!$B$24*Assumptions_and_Inputs!$D$11,0)</f>
        <v/>
      </c>
      <c r="D85" s="8">
        <f>IFERROR(D76/Assumptions_and_Inputs!$B$24*Assumptions_and_Inputs!$D$11,0)</f>
        <v/>
      </c>
      <c r="E85" s="8">
        <f>IFERROR(E76/Assumptions_and_Inputs!$B$24*Assumptions_and_Inputs!$D$11,0)</f>
        <v/>
      </c>
      <c r="F85" s="8">
        <f>IFERROR(F76/Assumptions_and_Inputs!$B$24*Assumptions_and_Inputs!$D$11,0)</f>
        <v/>
      </c>
    </row>
    <row r="86">
      <c r="A86" s="7" t="inlineStr">
        <is>
          <t>Accounts payable / current liabilities</t>
        </is>
      </c>
      <c r="B86" s="8">
        <f>IFERROR(B76/Assumptions_and_Inputs!$B$24*Assumptions_and_Inputs!$D$12,0)</f>
        <v/>
      </c>
      <c r="C86" s="8">
        <f>IFERROR(C76/Assumptions_and_Inputs!$B$24*Assumptions_and_Inputs!$D$12,0)</f>
        <v/>
      </c>
      <c r="D86" s="8">
        <f>IFERROR(D76/Assumptions_and_Inputs!$B$24*Assumptions_and_Inputs!$D$12,0)</f>
        <v/>
      </c>
      <c r="E86" s="8">
        <f>IFERROR(E76/Assumptions_and_Inputs!$B$24*Assumptions_and_Inputs!$D$12,0)</f>
        <v/>
      </c>
      <c r="F86" s="8">
        <f>IFERROR(F76/Assumptions_and_Inputs!$B$24*Assumptions_and_Inputs!$D$12,0)</f>
        <v/>
      </c>
    </row>
    <row r="87">
      <c r="A87" s="7" t="inlineStr">
        <is>
          <t>Capital expenditure</t>
        </is>
      </c>
      <c r="B87" s="8">
        <f>B75*Assumptions_and_Inputs!$D$13</f>
        <v/>
      </c>
      <c r="C87" s="8">
        <f>C75*Assumptions_and_Inputs!$D$13</f>
        <v/>
      </c>
      <c r="D87" s="8">
        <f>D75*Assumptions_and_Inputs!$D$13</f>
        <v/>
      </c>
      <c r="E87" s="8">
        <f>E75*Assumptions_and_Inputs!$D$13</f>
        <v/>
      </c>
      <c r="F87" s="8">
        <f>F75*Assumptions_and_Inputs!$D$13</f>
        <v/>
      </c>
    </row>
    <row r="88">
      <c r="A88" s="7" t="inlineStr">
        <is>
          <t>Opening net PP&amp;E</t>
        </is>
      </c>
      <c r="B88" s="8">
        <f>Historical_Data!$D$12</f>
        <v/>
      </c>
      <c r="C88" s="8">
        <f>B89</f>
        <v/>
      </c>
      <c r="D88" s="8">
        <f>C89</f>
        <v/>
      </c>
      <c r="E88" s="8">
        <f>D89</f>
        <v/>
      </c>
      <c r="F88" s="8">
        <f>E89</f>
        <v/>
      </c>
    </row>
    <row r="89">
      <c r="A89" s="7" t="inlineStr">
        <is>
          <t>Closing net PP&amp;E</t>
        </is>
      </c>
      <c r="B89" s="8">
        <f>MAX(0,B88+B87-B79)</f>
        <v/>
      </c>
      <c r="C89" s="8">
        <f>MAX(0,C88+C87-C79)</f>
        <v/>
      </c>
      <c r="D89" s="8">
        <f>MAX(0,D88+D87-D79)</f>
        <v/>
      </c>
      <c r="E89" s="8">
        <f>MAX(0,E88+E87-E79)</f>
        <v/>
      </c>
      <c r="F89" s="8">
        <f>MAX(0,F88+F87-F79)</f>
        <v/>
      </c>
    </row>
    <row r="90">
      <c r="A90" s="7" t="inlineStr">
        <is>
          <t>Opening cash</t>
        </is>
      </c>
      <c r="B90" s="8">
        <f>Historical_Data!$D$16</f>
        <v/>
      </c>
      <c r="C90" s="8">
        <f>B98</f>
        <v/>
      </c>
      <c r="D90" s="8">
        <f>C98</f>
        <v/>
      </c>
      <c r="E90" s="8">
        <f>D98</f>
        <v/>
      </c>
      <c r="F90" s="8">
        <f>E98</f>
        <v/>
      </c>
    </row>
    <row r="91">
      <c r="A91" s="7" t="inlineStr">
        <is>
          <t>Cash from operations</t>
        </is>
      </c>
      <c r="B91" s="8">
        <f>B83+B79-(B84-Historical_Data!$D$15)-(B85-(Historical_Data!$D$13-Historical_Data!$D$15-Historical_Data!$D$16))+(B86-Historical_Data!$D$18)</f>
        <v/>
      </c>
      <c r="C91" s="8">
        <f>C83+C79-(C84-B84)-(C85-B85)+(C86-B86)</f>
        <v/>
      </c>
      <c r="D91" s="8">
        <f>D83+D79-(D84-C84)-(D85-C85)+(D86-C86)</f>
        <v/>
      </c>
      <c r="E91" s="8">
        <f>E83+E79-(E84-D84)-(E85-D85)+(E86-D86)</f>
        <v/>
      </c>
      <c r="F91" s="8">
        <f>F83+F79-(F84-E84)-(F85-E85)+(F86-E86)</f>
        <v/>
      </c>
    </row>
    <row r="92">
      <c r="A92" s="7" t="inlineStr">
        <is>
          <t>Dividends</t>
        </is>
      </c>
      <c r="B92" s="8">
        <f>MAX(0,B83)*Assumptions_and_Inputs!$D$18</f>
        <v/>
      </c>
      <c r="C92" s="8">
        <f>MAX(0,C83)*Assumptions_and_Inputs!$D$18</f>
        <v/>
      </c>
      <c r="D92" s="8">
        <f>MAX(0,D83)*Assumptions_and_Inputs!$D$18</f>
        <v/>
      </c>
      <c r="E92" s="8">
        <f>MAX(0,E83)*Assumptions_and_Inputs!$D$18</f>
        <v/>
      </c>
      <c r="F92" s="8">
        <f>MAX(0,F83)*Assumptions_and_Inputs!$D$18</f>
        <v/>
      </c>
    </row>
    <row r="93">
      <c r="A93" s="7" t="inlineStr">
        <is>
          <t>Cash before financing</t>
        </is>
      </c>
      <c r="B93" s="8">
        <f>B90+B91-B87-B92</f>
        <v/>
      </c>
      <c r="C93" s="8">
        <f>C90+C91-C87-C92</f>
        <v/>
      </c>
      <c r="D93" s="8">
        <f>D90+D91-D87-D92</f>
        <v/>
      </c>
      <c r="E93" s="8">
        <f>E90+E91-E87-E92</f>
        <v/>
      </c>
      <c r="F93" s="8">
        <f>F90+F91-F87-F92</f>
        <v/>
      </c>
    </row>
    <row r="94">
      <c r="A94" s="7" t="inlineStr">
        <is>
          <t>Opening revolver debt</t>
        </is>
      </c>
      <c r="B94" s="8">
        <f>IFERROR(Historical_Data!$D$19,0)</f>
        <v/>
      </c>
      <c r="C94" s="8">
        <f>B97</f>
        <v/>
      </c>
      <c r="D94" s="8">
        <f>C97</f>
        <v/>
      </c>
      <c r="E94" s="8">
        <f>D97</f>
        <v/>
      </c>
      <c r="F94" s="8">
        <f>E97</f>
        <v/>
      </c>
    </row>
    <row r="95">
      <c r="A95" s="7" t="inlineStr">
        <is>
          <t>Revolver draw</t>
        </is>
      </c>
      <c r="B95" s="8">
        <f>MIN(MAX(0,Assumptions_and_Inputs!$D$20-B94),MAX(0,Assumptions_and_Inputs!$D$19-B93))</f>
        <v/>
      </c>
      <c r="C95" s="8">
        <f>MIN(MAX(0,Assumptions_and_Inputs!$D$20-C94),MAX(0,Assumptions_and_Inputs!$D$19-C93))</f>
        <v/>
      </c>
      <c r="D95" s="8">
        <f>MIN(MAX(0,Assumptions_and_Inputs!$D$20-D94),MAX(0,Assumptions_and_Inputs!$D$19-D93))</f>
        <v/>
      </c>
      <c r="E95" s="8">
        <f>MIN(MAX(0,Assumptions_and_Inputs!$D$20-E94),MAX(0,Assumptions_and_Inputs!$D$19-E93))</f>
        <v/>
      </c>
      <c r="F95" s="8">
        <f>MIN(MAX(0,Assumptions_and_Inputs!$D$20-F94),MAX(0,Assumptions_and_Inputs!$D$19-F93))</f>
        <v/>
      </c>
    </row>
    <row r="96">
      <c r="A96" s="7" t="inlineStr">
        <is>
          <t>Revolver repayment</t>
        </is>
      </c>
      <c r="B96" s="8">
        <f>MIN(B94+B95,MAX(0,B93-Assumptions_and_Inputs!$D$19)*Assumptions_and_Inputs!$D$21)</f>
        <v/>
      </c>
      <c r="C96" s="8">
        <f>MIN(C94+C95,MAX(0,C93-Assumptions_and_Inputs!$D$19)*Assumptions_and_Inputs!$D$21)</f>
        <v/>
      </c>
      <c r="D96" s="8">
        <f>MIN(D94+D95,MAX(0,D93-Assumptions_and_Inputs!$D$19)*Assumptions_and_Inputs!$D$21)</f>
        <v/>
      </c>
      <c r="E96" s="8">
        <f>MIN(E94+E95,MAX(0,E93-Assumptions_and_Inputs!$D$19)*Assumptions_and_Inputs!$D$21)</f>
        <v/>
      </c>
      <c r="F96" s="8">
        <f>MIN(F94+F95,MAX(0,F93-Assumptions_and_Inputs!$D$19)*Assumptions_and_Inputs!$D$21)</f>
        <v/>
      </c>
    </row>
    <row r="97">
      <c r="A97" s="7" t="inlineStr">
        <is>
          <t>Closing revolver debt</t>
        </is>
      </c>
      <c r="B97" s="8">
        <f>B94+B95-B96</f>
        <v/>
      </c>
      <c r="C97" s="8">
        <f>C94+C95-C96</f>
        <v/>
      </c>
      <c r="D97" s="8">
        <f>D94+D95-D96</f>
        <v/>
      </c>
      <c r="E97" s="8">
        <f>E94+E95-E96</f>
        <v/>
      </c>
      <c r="F97" s="8">
        <f>F94+F95-F96</f>
        <v/>
      </c>
    </row>
    <row r="98">
      <c r="A98" s="7" t="inlineStr">
        <is>
          <t>Ending cash</t>
        </is>
      </c>
      <c r="B98" s="8">
        <f>B93+B95-B96</f>
        <v/>
      </c>
      <c r="C98" s="8">
        <f>C93+C95-C96</f>
        <v/>
      </c>
      <c r="D98" s="8">
        <f>D93+D95-D96</f>
        <v/>
      </c>
      <c r="E98" s="8">
        <f>E93+E95-E96</f>
        <v/>
      </c>
      <c r="F98" s="8">
        <f>F93+F95-F96</f>
        <v/>
      </c>
    </row>
    <row r="99">
      <c r="A99" s="7" t="inlineStr">
        <is>
          <t>Opening shareholders' equity</t>
        </is>
      </c>
      <c r="B99" s="8">
        <f>Historical_Data!$D$21</f>
        <v/>
      </c>
      <c r="C99" s="8">
        <f>B100</f>
        <v/>
      </c>
      <c r="D99" s="8">
        <f>C100</f>
        <v/>
      </c>
      <c r="E99" s="8">
        <f>D100</f>
        <v/>
      </c>
      <c r="F99" s="8">
        <f>E100</f>
        <v/>
      </c>
    </row>
    <row r="100">
      <c r="A100" s="7" t="inlineStr">
        <is>
          <t>Closing shareholders' equity</t>
        </is>
      </c>
      <c r="B100" s="8">
        <f>B99+B83-B92</f>
        <v/>
      </c>
      <c r="C100" s="8">
        <f>C99+C83-C92</f>
        <v/>
      </c>
      <c r="D100" s="8">
        <f>D99+D83-D92</f>
        <v/>
      </c>
      <c r="E100" s="8">
        <f>E99+E83-E92</f>
        <v/>
      </c>
      <c r="F100" s="8">
        <f>F99+F83-F92</f>
        <v/>
      </c>
    </row>
    <row r="101">
      <c r="A101" s="7" t="inlineStr">
        <is>
          <t>Balance sheet difference</t>
        </is>
      </c>
      <c r="B101" s="8">
        <f>B98+B84+B85+B89-B86-B97-B100</f>
        <v/>
      </c>
      <c r="C101" s="8">
        <f>C98+C84+C85+C89-C86-C97-C100</f>
        <v/>
      </c>
      <c r="D101" s="8">
        <f>D98+D84+D85+D89-D86-D97-D100</f>
        <v/>
      </c>
      <c r="E101" s="8">
        <f>E98+E84+E85+E89-E86-E97-E100</f>
        <v/>
      </c>
      <c r="F101" s="8">
        <f>F98+F84+F85+F89-F86-F97-F100</f>
        <v/>
      </c>
    </row>
    <row r="102">
      <c r="A102" s="7" t="inlineStr">
        <is>
          <t>Liquidity flag (1 = breach)</t>
        </is>
      </c>
      <c r="B102" s="8">
        <f>IF(OR(B98&lt;0,B97&gt;Assumptions_and_Inputs!$D$20),1,0)</f>
        <v/>
      </c>
      <c r="C102" s="8">
        <f>IF(OR(C98&lt;0,C97&gt;Assumptions_and_Inputs!$D$20),1,0)</f>
        <v/>
      </c>
      <c r="D102" s="8">
        <f>IF(OR(D98&lt;0,D97&gt;Assumptions_and_Inputs!$D$20),1,0)</f>
        <v/>
      </c>
      <c r="E102" s="8">
        <f>IF(OR(E98&lt;0,E97&gt;Assumptions_and_Inputs!$D$20),1,0)</f>
        <v/>
      </c>
      <c r="F102" s="8">
        <f>IF(OR(F98&lt;0,F97&gt;Assumptions_and_Inputs!$D$20),1,0)</f>
        <v/>
      </c>
    </row>
    <row r="103">
      <c r="A103" s="5" t="inlineStr">
        <is>
          <t>Severe Stress | Five-year integrated scenario schedule</t>
        </is>
      </c>
    </row>
    <row r="104">
      <c r="A104" s="6" t="inlineStr">
        <is>
          <t>Forecast year</t>
        </is>
      </c>
      <c r="B104" s="6" t="n">
        <v>2026</v>
      </c>
      <c r="C104" s="6" t="n">
        <v>2027</v>
      </c>
      <c r="D104" s="6" t="n">
        <v>2028</v>
      </c>
      <c r="E104" s="6" t="n">
        <v>2029</v>
      </c>
      <c r="F104" s="6" t="n">
        <v>2030</v>
      </c>
    </row>
    <row r="105">
      <c r="A105" s="7" t="inlineStr">
        <is>
          <t>Revenue</t>
        </is>
      </c>
      <c r="B105" s="8">
        <f>Historical_Data!$D$5*(1+Assumptions_and_Inputs!$E$6)*(1+Assumptions_and_Inputs!$E$7)</f>
        <v/>
      </c>
      <c r="C105" s="8">
        <f>B105*(1+Assumptions_and_Inputs!$E$6)*(1+Assumptions_and_Inputs!$E$7)</f>
        <v/>
      </c>
      <c r="D105" s="8">
        <f>C105*(1+Assumptions_and_Inputs!$E$6)*(1+Assumptions_and_Inputs!$E$7)</f>
        <v/>
      </c>
      <c r="E105" s="8">
        <f>D105*(1+Assumptions_and_Inputs!$E$6)*(1+Assumptions_and_Inputs!$E$7)</f>
        <v/>
      </c>
      <c r="F105" s="8">
        <f>E105*(1+Assumptions_and_Inputs!$E$6)*(1+Assumptions_and_Inputs!$E$7)</f>
        <v/>
      </c>
    </row>
    <row r="106">
      <c r="A106" s="7" t="inlineStr">
        <is>
          <t>Non-personnel operating costs</t>
        </is>
      </c>
      <c r="B106" s="8">
        <f>B105*Assumptions_and_Inputs!$E$8</f>
        <v/>
      </c>
      <c r="C106" s="8">
        <f>C105*Assumptions_and_Inputs!$E$8</f>
        <v/>
      </c>
      <c r="D106" s="8">
        <f>D105*Assumptions_and_Inputs!$E$8</f>
        <v/>
      </c>
      <c r="E106" s="8">
        <f>E105*Assumptions_and_Inputs!$E$8</f>
        <v/>
      </c>
      <c r="F106" s="8">
        <f>F105*Assumptions_and_Inputs!$E$8</f>
        <v/>
      </c>
    </row>
    <row r="107">
      <c r="A107" s="7" t="inlineStr">
        <is>
          <t>Personnel expenses</t>
        </is>
      </c>
      <c r="B107" s="8">
        <f>Historical_Data!$D$7*(1+Assumptions_and_Inputs!$E$6)*(1+Assumptions_and_Inputs!$E$9)</f>
        <v/>
      </c>
      <c r="C107" s="8">
        <f>B107*(1+Assumptions_and_Inputs!$E$6)*(1+Assumptions_and_Inputs!$E$9)</f>
        <v/>
      </c>
      <c r="D107" s="8">
        <f>C107*(1+Assumptions_and_Inputs!$E$6)*(1+Assumptions_and_Inputs!$E$9)</f>
        <v/>
      </c>
      <c r="E107" s="8">
        <f>D107*(1+Assumptions_and_Inputs!$E$6)*(1+Assumptions_and_Inputs!$E$9)</f>
        <v/>
      </c>
      <c r="F107" s="8">
        <f>E107*(1+Assumptions_and_Inputs!$E$6)*(1+Assumptions_and_Inputs!$E$9)</f>
        <v/>
      </c>
    </row>
    <row r="108">
      <c r="A108" s="7" t="inlineStr">
        <is>
          <t>EBITDA</t>
        </is>
      </c>
      <c r="B108" s="8">
        <f>B105-B106-B107</f>
        <v/>
      </c>
      <c r="C108" s="8">
        <f>C105-C106-C107</f>
        <v/>
      </c>
      <c r="D108" s="8">
        <f>D105-D106-D107</f>
        <v/>
      </c>
      <c r="E108" s="8">
        <f>E105-E106-E107</f>
        <v/>
      </c>
      <c r="F108" s="8">
        <f>F105-F106-F107</f>
        <v/>
      </c>
    </row>
    <row r="109">
      <c r="A109" s="7" t="inlineStr">
        <is>
          <t>Depreciation and amortization</t>
        </is>
      </c>
      <c r="B109" s="8">
        <f>MIN(B118+B117,(B118+B117/2)*Assumptions_and_Inputs!$E$14)</f>
        <v/>
      </c>
      <c r="C109" s="8">
        <f>MIN(C118+C117,(C118+C117/2)*Assumptions_and_Inputs!$E$14)</f>
        <v/>
      </c>
      <c r="D109" s="8">
        <f>MIN(D118+D117,(D118+D117/2)*Assumptions_and_Inputs!$E$14)</f>
        <v/>
      </c>
      <c r="E109" s="8">
        <f>MIN(E118+E117,(E118+E117/2)*Assumptions_and_Inputs!$E$14)</f>
        <v/>
      </c>
      <c r="F109" s="8">
        <f>MIN(F118+F117,(F118+F117/2)*Assumptions_and_Inputs!$E$14)</f>
        <v/>
      </c>
    </row>
    <row r="110">
      <c r="A110" s="7" t="inlineStr">
        <is>
          <t>EBIT</t>
        </is>
      </c>
      <c r="B110" s="8">
        <f>B108-B109</f>
        <v/>
      </c>
      <c r="C110" s="8">
        <f>C108-C109</f>
        <v/>
      </c>
      <c r="D110" s="8">
        <f>D108-D109</f>
        <v/>
      </c>
      <c r="E110" s="8">
        <f>E108-E109</f>
        <v/>
      </c>
      <c r="F110" s="8">
        <f>F108-F109</f>
        <v/>
      </c>
    </row>
    <row r="111">
      <c r="A111" s="7" t="inlineStr">
        <is>
          <t>Cash interest income</t>
        </is>
      </c>
      <c r="B111" s="8">
        <f>B120*Assumptions_and_Inputs!$E$15</f>
        <v/>
      </c>
      <c r="C111" s="8">
        <f>C120*Assumptions_and_Inputs!$E$15</f>
        <v/>
      </c>
      <c r="D111" s="8">
        <f>D120*Assumptions_and_Inputs!$E$15</f>
        <v/>
      </c>
      <c r="E111" s="8">
        <f>E120*Assumptions_and_Inputs!$E$15</f>
        <v/>
      </c>
      <c r="F111" s="8">
        <f>F120*Assumptions_and_Inputs!$E$15</f>
        <v/>
      </c>
    </row>
    <row r="112">
      <c r="A112" s="7" t="inlineStr">
        <is>
          <t>Revolver interest expense</t>
        </is>
      </c>
      <c r="B112" s="8">
        <f>B124*Assumptions_and_Inputs!$E$16</f>
        <v/>
      </c>
      <c r="C112" s="8">
        <f>C124*Assumptions_and_Inputs!$E$16</f>
        <v/>
      </c>
      <c r="D112" s="8">
        <f>D124*Assumptions_and_Inputs!$E$16</f>
        <v/>
      </c>
      <c r="E112" s="8">
        <f>E124*Assumptions_and_Inputs!$E$16</f>
        <v/>
      </c>
      <c r="F112" s="8">
        <f>F124*Assumptions_and_Inputs!$E$16</f>
        <v/>
      </c>
    </row>
    <row r="113">
      <c r="A113" s="7" t="inlineStr">
        <is>
          <t>Net income</t>
        </is>
      </c>
      <c r="B113" s="8">
        <f>B110+B111-B112-MAX(0,B110+B111-B112)*Assumptions_and_Inputs!$E$17</f>
        <v/>
      </c>
      <c r="C113" s="8">
        <f>C110+C111-C112-MAX(0,C110+C111-C112)*Assumptions_and_Inputs!$E$17</f>
        <v/>
      </c>
      <c r="D113" s="8">
        <f>D110+D111-D112-MAX(0,D110+D111-D112)*Assumptions_and_Inputs!$E$17</f>
        <v/>
      </c>
      <c r="E113" s="8">
        <f>E110+E111-E112-MAX(0,E110+E111-E112)*Assumptions_and_Inputs!$E$17</f>
        <v/>
      </c>
      <c r="F113" s="8">
        <f>F110+F111-F112-MAX(0,F110+F111-F112)*Assumptions_and_Inputs!$E$17</f>
        <v/>
      </c>
    </row>
    <row r="114">
      <c r="A114" s="7" t="inlineStr">
        <is>
          <t>Accounts receivable</t>
        </is>
      </c>
      <c r="B114" s="8">
        <f>IFERROR(B105/Assumptions_and_Inputs!$B$24*Assumptions_and_Inputs!$E$10,0)</f>
        <v/>
      </c>
      <c r="C114" s="8">
        <f>IFERROR(C105/Assumptions_and_Inputs!$B$24*Assumptions_and_Inputs!$E$10,0)</f>
        <v/>
      </c>
      <c r="D114" s="8">
        <f>IFERROR(D105/Assumptions_and_Inputs!$B$24*Assumptions_and_Inputs!$E$10,0)</f>
        <v/>
      </c>
      <c r="E114" s="8">
        <f>IFERROR(E105/Assumptions_and_Inputs!$B$24*Assumptions_and_Inputs!$E$10,0)</f>
        <v/>
      </c>
      <c r="F114" s="8">
        <f>IFERROR(F105/Assumptions_and_Inputs!$B$24*Assumptions_and_Inputs!$E$10,0)</f>
        <v/>
      </c>
    </row>
    <row r="115">
      <c r="A115" s="7" t="inlineStr">
        <is>
          <t>Inventory and other operating assets</t>
        </is>
      </c>
      <c r="B115" s="8">
        <f>IFERROR(B106/Assumptions_and_Inputs!$B$24*Assumptions_and_Inputs!$E$11,0)</f>
        <v/>
      </c>
      <c r="C115" s="8">
        <f>IFERROR(C106/Assumptions_and_Inputs!$B$24*Assumptions_and_Inputs!$E$11,0)</f>
        <v/>
      </c>
      <c r="D115" s="8">
        <f>IFERROR(D106/Assumptions_and_Inputs!$B$24*Assumptions_and_Inputs!$E$11,0)</f>
        <v/>
      </c>
      <c r="E115" s="8">
        <f>IFERROR(E106/Assumptions_and_Inputs!$B$24*Assumptions_and_Inputs!$E$11,0)</f>
        <v/>
      </c>
      <c r="F115" s="8">
        <f>IFERROR(F106/Assumptions_and_Inputs!$B$24*Assumptions_and_Inputs!$E$11,0)</f>
        <v/>
      </c>
    </row>
    <row r="116">
      <c r="A116" s="7" t="inlineStr">
        <is>
          <t>Accounts payable / current liabilities</t>
        </is>
      </c>
      <c r="B116" s="8">
        <f>IFERROR(B106/Assumptions_and_Inputs!$B$24*Assumptions_and_Inputs!$E$12,0)</f>
        <v/>
      </c>
      <c r="C116" s="8">
        <f>IFERROR(C106/Assumptions_and_Inputs!$B$24*Assumptions_and_Inputs!$E$12,0)</f>
        <v/>
      </c>
      <c r="D116" s="8">
        <f>IFERROR(D106/Assumptions_and_Inputs!$B$24*Assumptions_and_Inputs!$E$12,0)</f>
        <v/>
      </c>
      <c r="E116" s="8">
        <f>IFERROR(E106/Assumptions_and_Inputs!$B$24*Assumptions_and_Inputs!$E$12,0)</f>
        <v/>
      </c>
      <c r="F116" s="8">
        <f>IFERROR(F106/Assumptions_and_Inputs!$B$24*Assumptions_and_Inputs!$E$12,0)</f>
        <v/>
      </c>
    </row>
    <row r="117">
      <c r="A117" s="7" t="inlineStr">
        <is>
          <t>Capital expenditure</t>
        </is>
      </c>
      <c r="B117" s="8">
        <f>B105*Assumptions_and_Inputs!$E$13</f>
        <v/>
      </c>
      <c r="C117" s="8">
        <f>C105*Assumptions_and_Inputs!$E$13</f>
        <v/>
      </c>
      <c r="D117" s="8">
        <f>D105*Assumptions_and_Inputs!$E$13</f>
        <v/>
      </c>
      <c r="E117" s="8">
        <f>E105*Assumptions_and_Inputs!$E$13</f>
        <v/>
      </c>
      <c r="F117" s="8">
        <f>F105*Assumptions_and_Inputs!$E$13</f>
        <v/>
      </c>
    </row>
    <row r="118">
      <c r="A118" s="7" t="inlineStr">
        <is>
          <t>Opening net PP&amp;E</t>
        </is>
      </c>
      <c r="B118" s="8">
        <f>Historical_Data!$D$12</f>
        <v/>
      </c>
      <c r="C118" s="8">
        <f>B119</f>
        <v/>
      </c>
      <c r="D118" s="8">
        <f>C119</f>
        <v/>
      </c>
      <c r="E118" s="8">
        <f>D119</f>
        <v/>
      </c>
      <c r="F118" s="8">
        <f>E119</f>
        <v/>
      </c>
    </row>
    <row r="119">
      <c r="A119" s="7" t="inlineStr">
        <is>
          <t>Closing net PP&amp;E</t>
        </is>
      </c>
      <c r="B119" s="8">
        <f>MAX(0,B118+B117-B109)</f>
        <v/>
      </c>
      <c r="C119" s="8">
        <f>MAX(0,C118+C117-C109)</f>
        <v/>
      </c>
      <c r="D119" s="8">
        <f>MAX(0,D118+D117-D109)</f>
        <v/>
      </c>
      <c r="E119" s="8">
        <f>MAX(0,E118+E117-E109)</f>
        <v/>
      </c>
      <c r="F119" s="8">
        <f>MAX(0,F118+F117-F109)</f>
        <v/>
      </c>
    </row>
    <row r="120">
      <c r="A120" s="7" t="inlineStr">
        <is>
          <t>Opening cash</t>
        </is>
      </c>
      <c r="B120" s="8">
        <f>Historical_Data!$D$16</f>
        <v/>
      </c>
      <c r="C120" s="8">
        <f>B128</f>
        <v/>
      </c>
      <c r="D120" s="8">
        <f>C128</f>
        <v/>
      </c>
      <c r="E120" s="8">
        <f>D128</f>
        <v/>
      </c>
      <c r="F120" s="8">
        <f>E128</f>
        <v/>
      </c>
    </row>
    <row r="121">
      <c r="A121" s="7" t="inlineStr">
        <is>
          <t>Cash from operations</t>
        </is>
      </c>
      <c r="B121" s="8">
        <f>B113+B109-(B114-Historical_Data!$D$15)-(B115-(Historical_Data!$D$13-Historical_Data!$D$15-Historical_Data!$D$16))+(B116-Historical_Data!$D$18)</f>
        <v/>
      </c>
      <c r="C121" s="8">
        <f>C113+C109-(C114-B114)-(C115-B115)+(C116-B116)</f>
        <v/>
      </c>
      <c r="D121" s="8">
        <f>D113+D109-(D114-C114)-(D115-C115)+(D116-C116)</f>
        <v/>
      </c>
      <c r="E121" s="8">
        <f>E113+E109-(E114-D114)-(E115-D115)+(E116-D116)</f>
        <v/>
      </c>
      <c r="F121" s="8">
        <f>F113+F109-(F114-E114)-(F115-E115)+(F116-E116)</f>
        <v/>
      </c>
    </row>
    <row r="122">
      <c r="A122" s="7" t="inlineStr">
        <is>
          <t>Dividends</t>
        </is>
      </c>
      <c r="B122" s="8">
        <f>MAX(0,B113)*Assumptions_and_Inputs!$E$18</f>
        <v/>
      </c>
      <c r="C122" s="8">
        <f>MAX(0,C113)*Assumptions_and_Inputs!$E$18</f>
        <v/>
      </c>
      <c r="D122" s="8">
        <f>MAX(0,D113)*Assumptions_and_Inputs!$E$18</f>
        <v/>
      </c>
      <c r="E122" s="8">
        <f>MAX(0,E113)*Assumptions_and_Inputs!$E$18</f>
        <v/>
      </c>
      <c r="F122" s="8">
        <f>MAX(0,F113)*Assumptions_and_Inputs!$E$18</f>
        <v/>
      </c>
    </row>
    <row r="123">
      <c r="A123" s="7" t="inlineStr">
        <is>
          <t>Cash before financing</t>
        </is>
      </c>
      <c r="B123" s="8">
        <f>B120+B121-B117-B122</f>
        <v/>
      </c>
      <c r="C123" s="8">
        <f>C120+C121-C117-C122</f>
        <v/>
      </c>
      <c r="D123" s="8">
        <f>D120+D121-D117-D122</f>
        <v/>
      </c>
      <c r="E123" s="8">
        <f>E120+E121-E117-E122</f>
        <v/>
      </c>
      <c r="F123" s="8">
        <f>F120+F121-F117-F122</f>
        <v/>
      </c>
    </row>
    <row r="124">
      <c r="A124" s="7" t="inlineStr">
        <is>
          <t>Opening revolver debt</t>
        </is>
      </c>
      <c r="B124" s="8">
        <f>IFERROR(Historical_Data!$D$19,0)</f>
        <v/>
      </c>
      <c r="C124" s="8">
        <f>B127</f>
        <v/>
      </c>
      <c r="D124" s="8">
        <f>C127</f>
        <v/>
      </c>
      <c r="E124" s="8">
        <f>D127</f>
        <v/>
      </c>
      <c r="F124" s="8">
        <f>E127</f>
        <v/>
      </c>
    </row>
    <row r="125">
      <c r="A125" s="7" t="inlineStr">
        <is>
          <t>Revolver draw</t>
        </is>
      </c>
      <c r="B125" s="8">
        <f>MIN(MAX(0,Assumptions_and_Inputs!$E$20-B124),MAX(0,Assumptions_and_Inputs!$E$19-B123))</f>
        <v/>
      </c>
      <c r="C125" s="8">
        <f>MIN(MAX(0,Assumptions_and_Inputs!$E$20-C124),MAX(0,Assumptions_and_Inputs!$E$19-C123))</f>
        <v/>
      </c>
      <c r="D125" s="8">
        <f>MIN(MAX(0,Assumptions_and_Inputs!$E$20-D124),MAX(0,Assumptions_and_Inputs!$E$19-D123))</f>
        <v/>
      </c>
      <c r="E125" s="8">
        <f>MIN(MAX(0,Assumptions_and_Inputs!$E$20-E124),MAX(0,Assumptions_and_Inputs!$E$19-E123))</f>
        <v/>
      </c>
      <c r="F125" s="8">
        <f>MIN(MAX(0,Assumptions_and_Inputs!$E$20-F124),MAX(0,Assumptions_and_Inputs!$E$19-F123))</f>
        <v/>
      </c>
    </row>
    <row r="126">
      <c r="A126" s="7" t="inlineStr">
        <is>
          <t>Revolver repayment</t>
        </is>
      </c>
      <c r="B126" s="8">
        <f>MIN(B124+B125,MAX(0,B123-Assumptions_and_Inputs!$E$19)*Assumptions_and_Inputs!$E$21)</f>
        <v/>
      </c>
      <c r="C126" s="8">
        <f>MIN(C124+C125,MAX(0,C123-Assumptions_and_Inputs!$E$19)*Assumptions_and_Inputs!$E$21)</f>
        <v/>
      </c>
      <c r="D126" s="8">
        <f>MIN(D124+D125,MAX(0,D123-Assumptions_and_Inputs!$E$19)*Assumptions_and_Inputs!$E$21)</f>
        <v/>
      </c>
      <c r="E126" s="8">
        <f>MIN(E124+E125,MAX(0,E123-Assumptions_and_Inputs!$E$19)*Assumptions_and_Inputs!$E$21)</f>
        <v/>
      </c>
      <c r="F126" s="8">
        <f>MIN(F124+F125,MAX(0,F123-Assumptions_and_Inputs!$E$19)*Assumptions_and_Inputs!$E$21)</f>
        <v/>
      </c>
    </row>
    <row r="127">
      <c r="A127" s="7" t="inlineStr">
        <is>
          <t>Closing revolver debt</t>
        </is>
      </c>
      <c r="B127" s="8">
        <f>B124+B125-B126</f>
        <v/>
      </c>
      <c r="C127" s="8">
        <f>C124+C125-C126</f>
        <v/>
      </c>
      <c r="D127" s="8">
        <f>D124+D125-D126</f>
        <v/>
      </c>
      <c r="E127" s="8">
        <f>E124+E125-E126</f>
        <v/>
      </c>
      <c r="F127" s="8">
        <f>F124+F125-F126</f>
        <v/>
      </c>
    </row>
    <row r="128">
      <c r="A128" s="7" t="inlineStr">
        <is>
          <t>Ending cash</t>
        </is>
      </c>
      <c r="B128" s="8">
        <f>B123+B125-B126</f>
        <v/>
      </c>
      <c r="C128" s="8">
        <f>C123+C125-C126</f>
        <v/>
      </c>
      <c r="D128" s="8">
        <f>D123+D125-D126</f>
        <v/>
      </c>
      <c r="E128" s="8">
        <f>E123+E125-E126</f>
        <v/>
      </c>
      <c r="F128" s="8">
        <f>F123+F125-F126</f>
        <v/>
      </c>
    </row>
    <row r="129">
      <c r="A129" s="7" t="inlineStr">
        <is>
          <t>Opening shareholders' equity</t>
        </is>
      </c>
      <c r="B129" s="8">
        <f>Historical_Data!$D$21</f>
        <v/>
      </c>
      <c r="C129" s="8">
        <f>B130</f>
        <v/>
      </c>
      <c r="D129" s="8">
        <f>C130</f>
        <v/>
      </c>
      <c r="E129" s="8">
        <f>D130</f>
        <v/>
      </c>
      <c r="F129" s="8">
        <f>E130</f>
        <v/>
      </c>
    </row>
    <row r="130">
      <c r="A130" s="7" t="inlineStr">
        <is>
          <t>Closing shareholders' equity</t>
        </is>
      </c>
      <c r="B130" s="8">
        <f>B129+B113-B122</f>
        <v/>
      </c>
      <c r="C130" s="8">
        <f>C129+C113-C122</f>
        <v/>
      </c>
      <c r="D130" s="8">
        <f>D129+D113-D122</f>
        <v/>
      </c>
      <c r="E130" s="8">
        <f>E129+E113-E122</f>
        <v/>
      </c>
      <c r="F130" s="8">
        <f>F129+F113-F122</f>
        <v/>
      </c>
    </row>
    <row r="131">
      <c r="A131" s="7" t="inlineStr">
        <is>
          <t>Balance sheet difference</t>
        </is>
      </c>
      <c r="B131" s="8">
        <f>B128+B114+B115+B119-B116-B127-B130</f>
        <v/>
      </c>
      <c r="C131" s="8">
        <f>C128+C114+C115+C119-C116-C127-C130</f>
        <v/>
      </c>
      <c r="D131" s="8">
        <f>D128+D114+D115+D119-D116-D127-D130</f>
        <v/>
      </c>
      <c r="E131" s="8">
        <f>E128+E114+E115+E119-E116-E127-E130</f>
        <v/>
      </c>
      <c r="F131" s="8">
        <f>F128+F114+F115+F119-F116-F127-F130</f>
        <v/>
      </c>
    </row>
    <row r="132">
      <c r="A132" s="7" t="inlineStr">
        <is>
          <t>Liquidity flag (1 = breach)</t>
        </is>
      </c>
      <c r="B132" s="8">
        <f>IF(OR(B128&lt;0,B127&gt;Assumptions_and_Inputs!$E$20),1,0)</f>
        <v/>
      </c>
      <c r="C132" s="8">
        <f>IF(OR(C128&lt;0,C127&gt;Assumptions_and_Inputs!$E$20),1,0)</f>
        <v/>
      </c>
      <c r="D132" s="8">
        <f>IF(OR(D128&lt;0,D127&gt;Assumptions_and_Inputs!$E$20),1,0)</f>
        <v/>
      </c>
      <c r="E132" s="8">
        <f>IF(OR(E128&lt;0,E127&gt;Assumptions_and_Inputs!$E$20),1,0)</f>
        <v/>
      </c>
      <c r="F132" s="8">
        <f>IF(OR(F128&lt;0,F127&gt;Assumptions_and_Inputs!$E$20),1,0)</f>
        <v/>
      </c>
    </row>
  </sheetData>
  <mergeCells count="8">
    <mergeCell ref="A73:F73"/>
    <mergeCell ref="A2:F2"/>
    <mergeCell ref="A11:F11"/>
    <mergeCell ref="A13:F13"/>
    <mergeCell ref="A1:F1"/>
    <mergeCell ref="A103:F103"/>
    <mergeCell ref="A3:F3"/>
    <mergeCell ref="A43:F43"/>
  </mergeCells>
  <conditionalFormatting sqref="A2:F2">
    <cfRule type="expression" priority="1" dxfId="0">
      <formula>Model_Checks!$B$2=0</formula>
    </cfRule>
    <cfRule type="expression" priority="2" dxfId="1">
      <formula>Model_Checks!$B$2&gt;0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H23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B5" sqref="B5"/>
      <selection pane="bottomLeft"/>
      <selection pane="bottomRight"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7" customWidth="1" min="7" max="7"/>
    <col width="17" customWidth="1" min="8" max="8"/>
  </cols>
  <sheetData>
    <row r="1" ht="27" customHeight="1">
      <c r="A1" s="1" t="inlineStr">
        <is>
          <t>Sensitivity_Analysis | 2030 EBITDA scenario and driver sensitivity</t>
        </is>
      </c>
    </row>
    <row r="2">
      <c r="A2" s="2">
        <f>IF(Model_Checks!$B$2=0,"ALL CHECKS PASSED","MODEL CHECKS FAILED")</f>
        <v/>
      </c>
    </row>
    <row r="3">
      <c r="A3" s="3" t="inlineStr">
        <is>
          <t>Amok Equipment AS | NOK unless stated | Generated 2026-10-10 | Version 1.0</t>
        </is>
      </c>
    </row>
    <row r="4">
      <c r="A4" s="23" t="inlineStr">
        <is>
          <t>Two-way sensitivity | 2030 EBITDA (NOK)</t>
        </is>
      </c>
    </row>
    <row r="5">
      <c r="A5" t="inlineStr">
        <is>
          <t>Cost ratio shocks (editable)</t>
        </is>
      </c>
      <c r="B5" t="inlineStr">
        <is>
          <t>Input offset</t>
        </is>
      </c>
      <c r="C5" s="25" t="n">
        <v>-0.05</v>
      </c>
      <c r="D5" s="25" t="n">
        <v>-0.025</v>
      </c>
      <c r="E5" s="25" t="n">
        <v>0</v>
      </c>
      <c r="F5" s="25" t="n">
        <v>0.025</v>
      </c>
      <c r="G5" s="25" t="n">
        <v>0.05</v>
      </c>
    </row>
    <row r="6">
      <c r="A6" s="7" t="inlineStr">
        <is>
          <t>Volume growth Δ / Non-personnel cost ratio</t>
        </is>
      </c>
      <c r="B6" s="14" t="n"/>
      <c r="C6" s="26">
        <f>Assumptions_and_Inputs!$F$8+C$5</f>
        <v/>
      </c>
      <c r="D6" s="26">
        <f>Assumptions_and_Inputs!$F$8+D$5</f>
        <v/>
      </c>
      <c r="E6" s="26">
        <f>Assumptions_and_Inputs!$F$8+E$5</f>
        <v/>
      </c>
      <c r="F6" s="26">
        <f>Assumptions_and_Inputs!$F$8+F$5</f>
        <v/>
      </c>
      <c r="G6" s="26">
        <f>Assumptions_and_Inputs!$F$8+G$5</f>
        <v/>
      </c>
    </row>
    <row r="7">
      <c r="B7" s="15" t="n">
        <v>-0.1</v>
      </c>
      <c r="C7" s="8">
        <f>IFERROR(Historical_Data!$D$5*(1+Assumptions_and_Inputs!$F$6+$B7)^Assumptions_and_Inputs!$B$26*(1+Assumptions_and_Inputs!$F$7)^Assumptions_and_Inputs!$B$26*(1-C$6)-Historical_Data!$D$7*(1+Assumptions_and_Inputs!$F$6+$B7)^Assumptions_and_Inputs!$B$26*(1+Assumptions_and_Inputs!$F$9)^Assumptions_and_Inputs!$B$26,0)</f>
        <v/>
      </c>
      <c r="D7" s="8">
        <f>IFERROR(Historical_Data!$D$5*(1+Assumptions_and_Inputs!$F$6+$B7)^Assumptions_and_Inputs!$B$26*(1+Assumptions_and_Inputs!$F$7)^Assumptions_and_Inputs!$B$26*(1-D$6)-Historical_Data!$D$7*(1+Assumptions_and_Inputs!$F$6+$B7)^Assumptions_and_Inputs!$B$26*(1+Assumptions_and_Inputs!$F$9)^Assumptions_and_Inputs!$B$26,0)</f>
        <v/>
      </c>
      <c r="E7" s="8">
        <f>IFERROR(Historical_Data!$D$5*(1+Assumptions_and_Inputs!$F$6+$B7)^Assumptions_and_Inputs!$B$26*(1+Assumptions_and_Inputs!$F$7)^Assumptions_and_Inputs!$B$26*(1-E$6)-Historical_Data!$D$7*(1+Assumptions_and_Inputs!$F$6+$B7)^Assumptions_and_Inputs!$B$26*(1+Assumptions_and_Inputs!$F$9)^Assumptions_and_Inputs!$B$26,0)</f>
        <v/>
      </c>
      <c r="F7" s="8">
        <f>IFERROR(Historical_Data!$D$5*(1+Assumptions_and_Inputs!$F$6+$B7)^Assumptions_and_Inputs!$B$26*(1+Assumptions_and_Inputs!$F$7)^Assumptions_and_Inputs!$B$26*(1-F$6)-Historical_Data!$D$7*(1+Assumptions_and_Inputs!$F$6+$B7)^Assumptions_and_Inputs!$B$26*(1+Assumptions_and_Inputs!$F$9)^Assumptions_and_Inputs!$B$26,0)</f>
        <v/>
      </c>
      <c r="G7" s="8">
        <f>IFERROR(Historical_Data!$D$5*(1+Assumptions_and_Inputs!$F$6+$B7)^Assumptions_and_Inputs!$B$26*(1+Assumptions_and_Inputs!$F$7)^Assumptions_and_Inputs!$B$26*(1-G$6)-Historical_Data!$D$7*(1+Assumptions_and_Inputs!$F$6+$B7)^Assumptions_and_Inputs!$B$26*(1+Assumptions_and_Inputs!$F$9)^Assumptions_and_Inputs!$B$26,0)</f>
        <v/>
      </c>
    </row>
    <row r="8">
      <c r="B8" s="15" t="n">
        <v>-0.05</v>
      </c>
      <c r="C8" s="8">
        <f>IFERROR(Historical_Data!$D$5*(1+Assumptions_and_Inputs!$F$6+$B8)^Assumptions_and_Inputs!$B$26*(1+Assumptions_and_Inputs!$F$7)^Assumptions_and_Inputs!$B$26*(1-C$6)-Historical_Data!$D$7*(1+Assumptions_and_Inputs!$F$6+$B8)^Assumptions_and_Inputs!$B$26*(1+Assumptions_and_Inputs!$F$9)^Assumptions_and_Inputs!$B$26,0)</f>
        <v/>
      </c>
      <c r="D8" s="8">
        <f>IFERROR(Historical_Data!$D$5*(1+Assumptions_and_Inputs!$F$6+$B8)^Assumptions_and_Inputs!$B$26*(1+Assumptions_and_Inputs!$F$7)^Assumptions_and_Inputs!$B$26*(1-D$6)-Historical_Data!$D$7*(1+Assumptions_and_Inputs!$F$6+$B8)^Assumptions_and_Inputs!$B$26*(1+Assumptions_and_Inputs!$F$9)^Assumptions_and_Inputs!$B$26,0)</f>
        <v/>
      </c>
      <c r="E8" s="8">
        <f>IFERROR(Historical_Data!$D$5*(1+Assumptions_and_Inputs!$F$6+$B8)^Assumptions_and_Inputs!$B$26*(1+Assumptions_and_Inputs!$F$7)^Assumptions_and_Inputs!$B$26*(1-E$6)-Historical_Data!$D$7*(1+Assumptions_and_Inputs!$F$6+$B8)^Assumptions_and_Inputs!$B$26*(1+Assumptions_and_Inputs!$F$9)^Assumptions_and_Inputs!$B$26,0)</f>
        <v/>
      </c>
      <c r="F8" s="8">
        <f>IFERROR(Historical_Data!$D$5*(1+Assumptions_and_Inputs!$F$6+$B8)^Assumptions_and_Inputs!$B$26*(1+Assumptions_and_Inputs!$F$7)^Assumptions_and_Inputs!$B$26*(1-F$6)-Historical_Data!$D$7*(1+Assumptions_and_Inputs!$F$6+$B8)^Assumptions_and_Inputs!$B$26*(1+Assumptions_and_Inputs!$F$9)^Assumptions_and_Inputs!$B$26,0)</f>
        <v/>
      </c>
      <c r="G8" s="8">
        <f>IFERROR(Historical_Data!$D$5*(1+Assumptions_and_Inputs!$F$6+$B8)^Assumptions_and_Inputs!$B$26*(1+Assumptions_and_Inputs!$F$7)^Assumptions_and_Inputs!$B$26*(1-G$6)-Historical_Data!$D$7*(1+Assumptions_and_Inputs!$F$6+$B8)^Assumptions_and_Inputs!$B$26*(1+Assumptions_and_Inputs!$F$9)^Assumptions_and_Inputs!$B$26,0)</f>
        <v/>
      </c>
    </row>
    <row r="9">
      <c r="B9" s="15" t="n">
        <v>0</v>
      </c>
      <c r="C9" s="8">
        <f>IFERROR(Historical_Data!$D$5*(1+Assumptions_and_Inputs!$F$6+$B9)^Assumptions_and_Inputs!$B$26*(1+Assumptions_and_Inputs!$F$7)^Assumptions_and_Inputs!$B$26*(1-C$6)-Historical_Data!$D$7*(1+Assumptions_and_Inputs!$F$6+$B9)^Assumptions_and_Inputs!$B$26*(1+Assumptions_and_Inputs!$F$9)^Assumptions_and_Inputs!$B$26,0)</f>
        <v/>
      </c>
      <c r="D9" s="8">
        <f>IFERROR(Historical_Data!$D$5*(1+Assumptions_and_Inputs!$F$6+$B9)^Assumptions_and_Inputs!$B$26*(1+Assumptions_and_Inputs!$F$7)^Assumptions_and_Inputs!$B$26*(1-D$6)-Historical_Data!$D$7*(1+Assumptions_and_Inputs!$F$6+$B9)^Assumptions_and_Inputs!$B$26*(1+Assumptions_and_Inputs!$F$9)^Assumptions_and_Inputs!$B$26,0)</f>
        <v/>
      </c>
      <c r="E9" s="8">
        <f>IFERROR(Historical_Data!$D$5*(1+Assumptions_and_Inputs!$F$6+$B9)^Assumptions_and_Inputs!$B$26*(1+Assumptions_and_Inputs!$F$7)^Assumptions_and_Inputs!$B$26*(1-E$6)-Historical_Data!$D$7*(1+Assumptions_and_Inputs!$F$6+$B9)^Assumptions_and_Inputs!$B$26*(1+Assumptions_and_Inputs!$F$9)^Assumptions_and_Inputs!$B$26,0)</f>
        <v/>
      </c>
      <c r="F9" s="8">
        <f>IFERROR(Historical_Data!$D$5*(1+Assumptions_and_Inputs!$F$6+$B9)^Assumptions_and_Inputs!$B$26*(1+Assumptions_and_Inputs!$F$7)^Assumptions_and_Inputs!$B$26*(1-F$6)-Historical_Data!$D$7*(1+Assumptions_and_Inputs!$F$6+$B9)^Assumptions_and_Inputs!$B$26*(1+Assumptions_and_Inputs!$F$9)^Assumptions_and_Inputs!$B$26,0)</f>
        <v/>
      </c>
      <c r="G9" s="8">
        <f>IFERROR(Historical_Data!$D$5*(1+Assumptions_and_Inputs!$F$6+$B9)^Assumptions_and_Inputs!$B$26*(1+Assumptions_and_Inputs!$F$7)^Assumptions_and_Inputs!$B$26*(1-G$6)-Historical_Data!$D$7*(1+Assumptions_and_Inputs!$F$6+$B9)^Assumptions_and_Inputs!$B$26*(1+Assumptions_and_Inputs!$F$9)^Assumptions_and_Inputs!$B$26,0)</f>
        <v/>
      </c>
    </row>
    <row r="10">
      <c r="B10" s="15" t="n">
        <v>0.05</v>
      </c>
      <c r="C10" s="8">
        <f>IFERROR(Historical_Data!$D$5*(1+Assumptions_and_Inputs!$F$6+$B10)^Assumptions_and_Inputs!$B$26*(1+Assumptions_and_Inputs!$F$7)^Assumptions_and_Inputs!$B$26*(1-C$6)-Historical_Data!$D$7*(1+Assumptions_and_Inputs!$F$6+$B10)^Assumptions_and_Inputs!$B$26*(1+Assumptions_and_Inputs!$F$9)^Assumptions_and_Inputs!$B$26,0)</f>
        <v/>
      </c>
      <c r="D10" s="8">
        <f>IFERROR(Historical_Data!$D$5*(1+Assumptions_and_Inputs!$F$6+$B10)^Assumptions_and_Inputs!$B$26*(1+Assumptions_and_Inputs!$F$7)^Assumptions_and_Inputs!$B$26*(1-D$6)-Historical_Data!$D$7*(1+Assumptions_and_Inputs!$F$6+$B10)^Assumptions_and_Inputs!$B$26*(1+Assumptions_and_Inputs!$F$9)^Assumptions_and_Inputs!$B$26,0)</f>
        <v/>
      </c>
      <c r="E10" s="8">
        <f>IFERROR(Historical_Data!$D$5*(1+Assumptions_and_Inputs!$F$6+$B10)^Assumptions_and_Inputs!$B$26*(1+Assumptions_and_Inputs!$F$7)^Assumptions_and_Inputs!$B$26*(1-E$6)-Historical_Data!$D$7*(1+Assumptions_and_Inputs!$F$6+$B10)^Assumptions_and_Inputs!$B$26*(1+Assumptions_and_Inputs!$F$9)^Assumptions_and_Inputs!$B$26,0)</f>
        <v/>
      </c>
      <c r="F10" s="8">
        <f>IFERROR(Historical_Data!$D$5*(1+Assumptions_and_Inputs!$F$6+$B10)^Assumptions_and_Inputs!$B$26*(1+Assumptions_and_Inputs!$F$7)^Assumptions_and_Inputs!$B$26*(1-F$6)-Historical_Data!$D$7*(1+Assumptions_and_Inputs!$F$6+$B10)^Assumptions_and_Inputs!$B$26*(1+Assumptions_and_Inputs!$F$9)^Assumptions_and_Inputs!$B$26,0)</f>
        <v/>
      </c>
      <c r="G10" s="8">
        <f>IFERROR(Historical_Data!$D$5*(1+Assumptions_and_Inputs!$F$6+$B10)^Assumptions_and_Inputs!$B$26*(1+Assumptions_and_Inputs!$F$7)^Assumptions_and_Inputs!$B$26*(1-G$6)-Historical_Data!$D$7*(1+Assumptions_and_Inputs!$F$6+$B10)^Assumptions_and_Inputs!$B$26*(1+Assumptions_and_Inputs!$F$9)^Assumptions_and_Inputs!$B$26,0)</f>
        <v/>
      </c>
    </row>
    <row r="11">
      <c r="B11" s="15" t="n">
        <v>0.1</v>
      </c>
      <c r="C11" s="8">
        <f>IFERROR(Historical_Data!$D$5*(1+Assumptions_and_Inputs!$F$6+$B11)^Assumptions_and_Inputs!$B$26*(1+Assumptions_and_Inputs!$F$7)^Assumptions_and_Inputs!$B$26*(1-C$6)-Historical_Data!$D$7*(1+Assumptions_and_Inputs!$F$6+$B11)^Assumptions_and_Inputs!$B$26*(1+Assumptions_and_Inputs!$F$9)^Assumptions_and_Inputs!$B$26,0)</f>
        <v/>
      </c>
      <c r="D11" s="8">
        <f>IFERROR(Historical_Data!$D$5*(1+Assumptions_and_Inputs!$F$6+$B11)^Assumptions_and_Inputs!$B$26*(1+Assumptions_and_Inputs!$F$7)^Assumptions_and_Inputs!$B$26*(1-D$6)-Historical_Data!$D$7*(1+Assumptions_and_Inputs!$F$6+$B11)^Assumptions_and_Inputs!$B$26*(1+Assumptions_and_Inputs!$F$9)^Assumptions_and_Inputs!$B$26,0)</f>
        <v/>
      </c>
      <c r="E11" s="8">
        <f>IFERROR(Historical_Data!$D$5*(1+Assumptions_and_Inputs!$F$6+$B11)^Assumptions_and_Inputs!$B$26*(1+Assumptions_and_Inputs!$F$7)^Assumptions_and_Inputs!$B$26*(1-E$6)-Historical_Data!$D$7*(1+Assumptions_and_Inputs!$F$6+$B11)^Assumptions_and_Inputs!$B$26*(1+Assumptions_and_Inputs!$F$9)^Assumptions_and_Inputs!$B$26,0)</f>
        <v/>
      </c>
      <c r="F11" s="8">
        <f>IFERROR(Historical_Data!$D$5*(1+Assumptions_and_Inputs!$F$6+$B11)^Assumptions_and_Inputs!$B$26*(1+Assumptions_and_Inputs!$F$7)^Assumptions_and_Inputs!$B$26*(1-F$6)-Historical_Data!$D$7*(1+Assumptions_and_Inputs!$F$6+$B11)^Assumptions_and_Inputs!$B$26*(1+Assumptions_and_Inputs!$F$9)^Assumptions_and_Inputs!$B$26,0)</f>
        <v/>
      </c>
      <c r="G11" s="8">
        <f>IFERROR(Historical_Data!$D$5*(1+Assumptions_and_Inputs!$F$6+$B11)^Assumptions_and_Inputs!$B$26*(1+Assumptions_and_Inputs!$F$7)^Assumptions_and_Inputs!$B$26*(1-G$6)-Historical_Data!$D$7*(1+Assumptions_and_Inputs!$F$6+$B11)^Assumptions_and_Inputs!$B$26*(1+Assumptions_and_Inputs!$F$9)^Assumptions_and_Inputs!$B$26,0)</f>
        <v/>
      </c>
    </row>
    <row r="12"/>
    <row r="13">
      <c r="A13" s="7" t="inlineStr">
        <is>
          <t>Base case tie-out</t>
        </is>
      </c>
      <c r="B13" s="8">
        <f>IFERROR(Financial_Statements!$I$12,0)</f>
        <v/>
      </c>
      <c r="C13" s="7" t="inlineStr">
        <is>
          <t>Sensitivity center</t>
        </is>
      </c>
      <c r="D13" s="8">
        <f>E9</f>
        <v/>
      </c>
      <c r="E13" s="7" t="inlineStr">
        <is>
          <t>Difference</t>
        </is>
      </c>
      <c r="F13" s="8">
        <f>D13-B13</f>
        <v/>
      </c>
    </row>
    <row r="14"/>
    <row r="15">
      <c r="A15" s="5" t="inlineStr">
        <is>
          <t>One-way tornado | Change in 2030 EBITDA (NOK)</t>
        </is>
      </c>
    </row>
    <row r="16">
      <c r="A16" s="6" t="inlineStr">
        <is>
          <t>Driver</t>
        </is>
      </c>
      <c r="B16" s="6" t="inlineStr">
        <is>
          <t>Downside EBITDA</t>
        </is>
      </c>
      <c r="C16" s="6" t="inlineStr">
        <is>
          <t>Upside EBITDA</t>
        </is>
      </c>
      <c r="D16" s="6" t="inlineStr">
        <is>
          <t>Downside impact</t>
        </is>
      </c>
      <c r="E16" s="6" t="inlineStr">
        <is>
          <t>Upside impact</t>
        </is>
      </c>
      <c r="F16" s="6" t="inlineStr">
        <is>
          <t>Elasticity</t>
        </is>
      </c>
      <c r="G16" s="6" t="inlineStr">
        <is>
          <t>Downside shock</t>
        </is>
      </c>
      <c r="H16" s="6" t="inlineStr">
        <is>
          <t>Upside shock</t>
        </is>
      </c>
    </row>
    <row r="17">
      <c r="A17" s="7" t="inlineStr">
        <is>
          <t>Volume growth</t>
        </is>
      </c>
      <c r="B17" s="8">
        <f>IFERROR(Historical_Data!$D$5*(1+(Assumptions_and_Inputs!$F$6+$G17))^Assumptions_and_Inputs!$B$26*(1+Assumptions_and_Inputs!$F$7)^Assumptions_and_Inputs!$B$26*(1-Assumptions_and_Inputs!$F$8)-Historical_Data!$D$7*(1+(Assumptions_and_Inputs!$F$6+$G17))^Assumptions_and_Inputs!$B$26*(1+Assumptions_and_Inputs!$F$9)^Assumptions_and_Inputs!$B$26,0)</f>
        <v/>
      </c>
      <c r="C17" s="8">
        <f>IFERROR(Historical_Data!$D$5*(1+(Assumptions_and_Inputs!$F$6+$H17))^Assumptions_and_Inputs!$B$26*(1+Assumptions_and_Inputs!$F$7)^Assumptions_and_Inputs!$B$26*(1-Assumptions_and_Inputs!$F$8)-Historical_Data!$D$7*(1+(Assumptions_and_Inputs!$F$6+$H17))^Assumptions_and_Inputs!$B$26*(1+Assumptions_and_Inputs!$F$9)^Assumptions_and_Inputs!$B$26,0)</f>
        <v/>
      </c>
      <c r="D17" s="8">
        <f>B17-$B$13</f>
        <v/>
      </c>
      <c r="E17" s="8">
        <f>C17-$B$13</f>
        <v/>
      </c>
      <c r="F17" s="27">
        <f>IFERROR(((C17-B17)/$B$13)/(($H17-$G17)/Assumptions_and_Inputs!$F$6),0)</f>
        <v/>
      </c>
      <c r="G17" s="15" t="n">
        <v>-0.05</v>
      </c>
      <c r="H17" s="15" t="n">
        <v>0.05</v>
      </c>
    </row>
    <row r="18">
      <c r="A18" s="7" t="inlineStr">
        <is>
          <t>Price realization growth</t>
        </is>
      </c>
      <c r="B18" s="8">
        <f>IFERROR(Historical_Data!$D$5*(1+Assumptions_and_Inputs!$F$6)^Assumptions_and_Inputs!$B$26*(1+(Assumptions_and_Inputs!$F$7+$G18))^Assumptions_and_Inputs!$B$26*(1-Assumptions_and_Inputs!$F$8)-Historical_Data!$D$7*(1+Assumptions_and_Inputs!$F$6)^Assumptions_and_Inputs!$B$26*(1+Assumptions_and_Inputs!$F$9)^Assumptions_and_Inputs!$B$26,0)</f>
        <v/>
      </c>
      <c r="C18" s="8">
        <f>IFERROR(Historical_Data!$D$5*(1+Assumptions_and_Inputs!$F$6)^Assumptions_and_Inputs!$B$26*(1+(Assumptions_and_Inputs!$F$7+$H18))^Assumptions_and_Inputs!$B$26*(1-Assumptions_and_Inputs!$F$8)-Historical_Data!$D$7*(1+Assumptions_and_Inputs!$F$6)^Assumptions_and_Inputs!$B$26*(1+Assumptions_and_Inputs!$F$9)^Assumptions_and_Inputs!$B$26,0)</f>
        <v/>
      </c>
      <c r="D18" s="8">
        <f>B18-$B$13</f>
        <v/>
      </c>
      <c r="E18" s="8">
        <f>C18-$B$13</f>
        <v/>
      </c>
      <c r="F18" s="27">
        <f>IFERROR(((C18-B18)/$B$13)/(($H18-$G18)/Assumptions_and_Inputs!$F$7),0)</f>
        <v/>
      </c>
      <c r="G18" s="15" t="n">
        <v>-0.02</v>
      </c>
      <c r="H18" s="15" t="n">
        <v>0.02</v>
      </c>
    </row>
    <row r="19">
      <c r="A19" s="7" t="inlineStr">
        <is>
          <t>Non-personnel cost ratio</t>
        </is>
      </c>
      <c r="B19" s="8">
        <f>IFERROR(Historical_Data!$D$5*(1+Assumptions_and_Inputs!$F$6)^Assumptions_and_Inputs!$B$26*(1+Assumptions_and_Inputs!$F$7)^Assumptions_and_Inputs!$B$26*(1-(Assumptions_and_Inputs!$F$8+$G19))-Historical_Data!$D$7*(1+Assumptions_and_Inputs!$F$6)^Assumptions_and_Inputs!$B$26*(1+Assumptions_and_Inputs!$F$9)^Assumptions_and_Inputs!$B$26,0)</f>
        <v/>
      </c>
      <c r="C19" s="8">
        <f>IFERROR(Historical_Data!$D$5*(1+Assumptions_and_Inputs!$F$6)^Assumptions_and_Inputs!$B$26*(1+Assumptions_and_Inputs!$F$7)^Assumptions_and_Inputs!$B$26*(1-(Assumptions_and_Inputs!$F$8+$H19))-Historical_Data!$D$7*(1+Assumptions_and_Inputs!$F$6)^Assumptions_and_Inputs!$B$26*(1+Assumptions_and_Inputs!$F$9)^Assumptions_and_Inputs!$B$26,0)</f>
        <v/>
      </c>
      <c r="D19" s="8">
        <f>B19-$B$13</f>
        <v/>
      </c>
      <c r="E19" s="8">
        <f>C19-$B$13</f>
        <v/>
      </c>
      <c r="F19" s="27">
        <f>IFERROR(((C19-B19)/$B$13)/(($H19-$G19)/Assumptions_and_Inputs!$F$8),0)</f>
        <v/>
      </c>
      <c r="G19" s="15" t="n">
        <v>0.03</v>
      </c>
      <c r="H19" s="15" t="n">
        <v>-0.03</v>
      </c>
    </row>
    <row r="20">
      <c r="A20" s="7" t="inlineStr">
        <is>
          <t>Wage inflation</t>
        </is>
      </c>
      <c r="B20" s="8">
        <f>IFERROR(Historical_Data!$D$5*(1+Assumptions_and_Inputs!$F$6)^Assumptions_and_Inputs!$B$26*(1+Assumptions_and_Inputs!$F$7)^Assumptions_and_Inputs!$B$26*(1-Assumptions_and_Inputs!$F$8)-Historical_Data!$D$7*(1+Assumptions_and_Inputs!$F$6)^Assumptions_and_Inputs!$B$26*(1+(Assumptions_and_Inputs!$F$9+$G20))^Assumptions_and_Inputs!$B$26,0)</f>
        <v/>
      </c>
      <c r="C20" s="8">
        <f>IFERROR(Historical_Data!$D$5*(1+Assumptions_and_Inputs!$F$6)^Assumptions_and_Inputs!$B$26*(1+Assumptions_and_Inputs!$F$7)^Assumptions_and_Inputs!$B$26*(1-Assumptions_and_Inputs!$F$8)-Historical_Data!$D$7*(1+Assumptions_and_Inputs!$F$6)^Assumptions_and_Inputs!$B$26*(1+(Assumptions_and_Inputs!$F$9+$H20))^Assumptions_and_Inputs!$B$26,0)</f>
        <v/>
      </c>
      <c r="D20" s="8">
        <f>B20-$B$13</f>
        <v/>
      </c>
      <c r="E20" s="8">
        <f>C20-$B$13</f>
        <v/>
      </c>
      <c r="F20" s="27">
        <f>IFERROR(((C20-B20)/$B$13)/(($H20-$G20)/Assumptions_and_Inputs!$F$9),0)</f>
        <v/>
      </c>
      <c r="G20" s="15" t="n">
        <v>0.02</v>
      </c>
      <c r="H20" s="15" t="n">
        <v>-0.02</v>
      </c>
    </row>
    <row r="21"/>
    <row r="22"/>
    <row r="23" ht="34" customHeight="1">
      <c r="A23" s="12" t="inlineStr">
        <is>
          <t>Tornado shocks are one-at-a-time changes around the active scenario. Elasticity is the percentage change in EBITDA divided by the percentage change in the driver across the full downside-to-upside range.</t>
        </is>
      </c>
    </row>
  </sheetData>
  <mergeCells count="6">
    <mergeCell ref="A3:H3"/>
    <mergeCell ref="A2:H2"/>
    <mergeCell ref="A23:F23"/>
    <mergeCell ref="A4:G4"/>
    <mergeCell ref="A1:H1"/>
    <mergeCell ref="A15:F15"/>
  </mergeCells>
  <conditionalFormatting sqref="A2:H2">
    <cfRule type="expression" priority="1" dxfId="0">
      <formula>Model_Checks!$B$2=0</formula>
    </cfRule>
    <cfRule type="expression" priority="2" dxfId="1">
      <formula>Model_Checks!$B$2&gt;0</formula>
    </cfRule>
  </conditionalFormatting>
  <conditionalFormatting sqref="C7:G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rintOptions horizontalCentered="1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K17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B5" sqref="B5"/>
      <selection pane="bottomLeft"/>
      <selection pane="bottomRight" activeCell="A1" sqref="A1"/>
    </sheetView>
  </sheetViews>
  <sheetFormatPr baseColWidth="8" defaultRowHeight="15"/>
  <cols>
    <col width="36" customWidth="1" min="1" max="1"/>
    <col width="6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7" customHeight="1">
      <c r="A1" s="1" t="inlineStr">
        <is>
          <t>Model_Checks | Accounting, roll-forward, scenario, and sensitivity assertions</t>
        </is>
      </c>
    </row>
    <row r="2">
      <c r="A2" s="2">
        <f>IF(B2=0,"ALL CHECKS PASSED","MODEL CHECKS FAILED")</f>
        <v/>
      </c>
      <c r="B2" s="24">
        <f>SUM(K6:K17)</f>
        <v/>
      </c>
    </row>
    <row r="3">
      <c r="A3" s="3" t="inlineStr">
        <is>
          <t>Amok Equipment AS | NOK unless stated | Generated 2026-10-10 | Version 1.0</t>
        </is>
      </c>
    </row>
    <row r="4">
      <c r="A4" t="inlineStr">
        <is>
          <t>Failed checks (zero is pass)</t>
        </is>
      </c>
      <c r="B4" s="24">
        <f>SUM(K6:K17)</f>
        <v/>
      </c>
    </row>
    <row r="5">
      <c r="A5" s="14" t="inlineStr">
        <is>
          <t>Check</t>
        </is>
      </c>
      <c r="B5" s="14" t="inlineStr">
        <is>
          <t>Test</t>
        </is>
      </c>
      <c r="C5" s="14" t="n">
        <v>2023</v>
      </c>
      <c r="D5" s="14" t="n">
        <v>2024</v>
      </c>
      <c r="E5" s="14" t="n">
        <v>2025</v>
      </c>
      <c r="F5" s="14" t="n">
        <v>2026</v>
      </c>
      <c r="G5" s="14" t="n">
        <v>2027</v>
      </c>
      <c r="H5" s="14" t="n">
        <v>2028</v>
      </c>
      <c r="I5" s="14" t="n">
        <v>2029</v>
      </c>
      <c r="J5" s="14" t="n">
        <v>2030</v>
      </c>
      <c r="K5" s="14" t="inlineStr">
        <is>
          <t>Total failures</t>
        </is>
      </c>
    </row>
    <row r="6">
      <c r="A6" s="7" t="inlineStr">
        <is>
          <t>Balance sheet equilibrium</t>
        </is>
      </c>
      <c r="B6" s="7" t="inlineStr">
        <is>
          <t>Assets equal liabilities plus equity within the centralized NOK tolerance.</t>
        </is>
      </c>
      <c r="C6" s="8">
        <f>IF(ABS(Financial_Statements!B35)&lt;=Assumptions_and_Inputs!$B$25,0,1)</f>
        <v/>
      </c>
      <c r="D6" s="8">
        <f>IF(ABS(Financial_Statements!C35)&lt;=Assumptions_and_Inputs!$B$25,0,1)</f>
        <v/>
      </c>
      <c r="E6" s="8">
        <f>IF(ABS(Financial_Statements!D35)&lt;=Assumptions_and_Inputs!$B$25,0,1)</f>
        <v/>
      </c>
      <c r="F6" s="8">
        <f>IF(ABS(Financial_Statements!E35)&lt;=Assumptions_and_Inputs!$B$25,0,1)</f>
        <v/>
      </c>
      <c r="G6" s="8">
        <f>IF(ABS(Financial_Statements!F35)&lt;=Assumptions_and_Inputs!$B$25,0,1)</f>
        <v/>
      </c>
      <c r="H6" s="8">
        <f>IF(ABS(Financial_Statements!G35)&lt;=Assumptions_and_Inputs!$B$25,0,1)</f>
        <v/>
      </c>
      <c r="I6" s="8">
        <f>IF(ABS(Financial_Statements!H35)&lt;=Assumptions_and_Inputs!$B$25,0,1)</f>
        <v/>
      </c>
      <c r="J6" s="8">
        <f>IF(ABS(Financial_Statements!I35)&lt;=Assumptions_and_Inputs!$B$25,0,1)</f>
        <v/>
      </c>
      <c r="K6" s="7">
        <f>SUM(C6:J6)</f>
        <v/>
      </c>
    </row>
    <row r="7">
      <c r="A7" s="7" t="inlineStr">
        <is>
          <t>Cash reconciliation</t>
        </is>
      </c>
      <c r="B7" s="7" t="inlineStr">
        <is>
          <t>Cash flow ending cash agrees with balance sheet cash.</t>
        </is>
      </c>
      <c r="C7" s="8">
        <f>0</f>
        <v/>
      </c>
      <c r="D7" s="8">
        <f>IF(ABS(Financial_Statements!C55-Financial_Statements!C25)&lt;=Assumptions_and_Inputs!$B$25,0,1)</f>
        <v/>
      </c>
      <c r="E7" s="8">
        <f>IF(ABS(Financial_Statements!D55-Financial_Statements!D25)&lt;=Assumptions_and_Inputs!$B$25,0,1)</f>
        <v/>
      </c>
      <c r="F7" s="8">
        <f>IF(ABS(Financial_Statements!E55-Financial_Statements!E25)&lt;=Assumptions_and_Inputs!$B$25,0,1)</f>
        <v/>
      </c>
      <c r="G7" s="8">
        <f>IF(ABS(Financial_Statements!F55-Financial_Statements!F25)&lt;=Assumptions_and_Inputs!$B$25,0,1)</f>
        <v/>
      </c>
      <c r="H7" s="8">
        <f>IF(ABS(Financial_Statements!G55-Financial_Statements!G25)&lt;=Assumptions_and_Inputs!$B$25,0,1)</f>
        <v/>
      </c>
      <c r="I7" s="8">
        <f>IF(ABS(Financial_Statements!H55-Financial_Statements!H25)&lt;=Assumptions_and_Inputs!$B$25,0,1)</f>
        <v/>
      </c>
      <c r="J7" s="8">
        <f>IF(ABS(Financial_Statements!I55-Financial_Statements!I25)&lt;=Assumptions_and_Inputs!$B$25,0,1)</f>
        <v/>
      </c>
      <c r="K7" s="7">
        <f>SUM(C7:J7)</f>
        <v/>
      </c>
    </row>
    <row r="8">
      <c r="A8" s="7" t="inlineStr">
        <is>
          <t>Equity roll-forward</t>
        </is>
      </c>
      <c r="B8" s="7" t="inlineStr">
        <is>
          <t>Forecast equity equals opening equity + net income - dividends.</t>
        </is>
      </c>
      <c r="C8" s="8">
        <f>0</f>
        <v/>
      </c>
      <c r="D8" s="8">
        <f>0</f>
        <v/>
      </c>
      <c r="E8" s="8">
        <f>0</f>
        <v/>
      </c>
      <c r="F8" s="8">
        <f>IF(ABS(Supporting_Schedules!E32-(Supporting_Schedules!E29+Supporting_Schedules!E30-Supporting_Schedules!E31))&lt;=Assumptions_and_Inputs!$B$25,0,1)</f>
        <v/>
      </c>
      <c r="G8" s="8">
        <f>IF(ABS(Supporting_Schedules!F32-(Supporting_Schedules!F29+Supporting_Schedules!F30-Supporting_Schedules!F31))&lt;=Assumptions_and_Inputs!$B$25,0,1)</f>
        <v/>
      </c>
      <c r="H8" s="8">
        <f>IF(ABS(Supporting_Schedules!G32-(Supporting_Schedules!G29+Supporting_Schedules!G30-Supporting_Schedules!G31))&lt;=Assumptions_and_Inputs!$B$25,0,1)</f>
        <v/>
      </c>
      <c r="I8" s="8">
        <f>IF(ABS(Supporting_Schedules!H32-(Supporting_Schedules!H29+Supporting_Schedules!H30-Supporting_Schedules!H31))&lt;=Assumptions_and_Inputs!$B$25,0,1)</f>
        <v/>
      </c>
      <c r="J8" s="8">
        <f>IF(ABS(Supporting_Schedules!I32-(Supporting_Schedules!I29+Supporting_Schedules!I30-Supporting_Schedules!I31))&lt;=Assumptions_and_Inputs!$B$25,0,1)</f>
        <v/>
      </c>
      <c r="K8" s="7">
        <f>SUM(C8:J8)</f>
        <v/>
      </c>
    </row>
    <row r="9">
      <c r="A9" s="7" t="inlineStr">
        <is>
          <t>PP&amp;E roll-forward</t>
        </is>
      </c>
      <c r="B9" s="7" t="inlineStr">
        <is>
          <t>Forecast PP&amp;E equals opening PP&amp;E + CapEx - D&amp;A.</t>
        </is>
      </c>
      <c r="C9" s="8">
        <f>0</f>
        <v/>
      </c>
      <c r="D9" s="8">
        <f>0</f>
        <v/>
      </c>
      <c r="E9" s="8">
        <f>0</f>
        <v/>
      </c>
      <c r="F9" s="8">
        <f>IF(ABS(Supporting_Schedules!E18-(Supporting_Schedules!E15+Supporting_Schedules!E16-Supporting_Schedules!E17))&lt;=Assumptions_and_Inputs!$B$25,0,1)</f>
        <v/>
      </c>
      <c r="G9" s="8">
        <f>IF(ABS(Supporting_Schedules!F18-(Supporting_Schedules!F15+Supporting_Schedules!F16-Supporting_Schedules!F17))&lt;=Assumptions_and_Inputs!$B$25,0,1)</f>
        <v/>
      </c>
      <c r="H9" s="8">
        <f>IF(ABS(Supporting_Schedules!G18-(Supporting_Schedules!G15+Supporting_Schedules!G16-Supporting_Schedules!G17))&lt;=Assumptions_and_Inputs!$B$25,0,1)</f>
        <v/>
      </c>
      <c r="I9" s="8">
        <f>IF(ABS(Supporting_Schedules!H18-(Supporting_Schedules!H15+Supporting_Schedules!H16-Supporting_Schedules!H17))&lt;=Assumptions_and_Inputs!$B$25,0,1)</f>
        <v/>
      </c>
      <c r="J9" s="8">
        <f>IF(ABS(Supporting_Schedules!I18-(Supporting_Schedules!I15+Supporting_Schedules!I16-Supporting_Schedules!I17))&lt;=Assumptions_and_Inputs!$B$25,0,1)</f>
        <v/>
      </c>
      <c r="K9" s="7">
        <f>SUM(C9:J9)</f>
        <v/>
      </c>
    </row>
    <row r="10">
      <c r="A10" s="7" t="inlineStr">
        <is>
          <t>Debt roll-forward / facility</t>
        </is>
      </c>
      <c r="B10" s="7" t="inlineStr">
        <is>
          <t>Debt rolls forward correctly and remains within facility; cash is not negative.</t>
        </is>
      </c>
      <c r="C10" s="8">
        <f>0</f>
        <v/>
      </c>
      <c r="D10" s="8">
        <f>0</f>
        <v/>
      </c>
      <c r="E10" s="8">
        <f>0</f>
        <v/>
      </c>
      <c r="F10" s="8">
        <f>IF(OR(ABS(Supporting_Schedules!E24-(Supporting_Schedules!E21+Supporting_Schedules!E22-Supporting_Schedules!E23))&gt;Assumptions_and_Inputs!$B$25,Supporting_Schedules!E24&gt;Assumptions_and_Inputs!$F$20+Assumptions_and_Inputs!$B$25,Financial_Statements!E25&lt;0,AND(Financial_Statements!E25&lt;Assumptions_and_Inputs!$F$19-Assumptions_and_Inputs!$B$25,Supporting_Schedules!E24&lt;Assumptions_and_Inputs!$F$20-Assumptions_and_Inputs!$B$25)),1,0)</f>
        <v/>
      </c>
      <c r="G10" s="8">
        <f>IF(OR(ABS(Supporting_Schedules!F24-(Supporting_Schedules!F21+Supporting_Schedules!F22-Supporting_Schedules!F23))&gt;Assumptions_and_Inputs!$B$25,Supporting_Schedules!F24&gt;Assumptions_and_Inputs!$F$20+Assumptions_and_Inputs!$B$25,Financial_Statements!F25&lt;0,AND(Financial_Statements!F25&lt;Assumptions_and_Inputs!$F$19-Assumptions_and_Inputs!$B$25,Supporting_Schedules!F24&lt;Assumptions_and_Inputs!$F$20-Assumptions_and_Inputs!$B$25)),1,0)</f>
        <v/>
      </c>
      <c r="H10" s="8">
        <f>IF(OR(ABS(Supporting_Schedules!G24-(Supporting_Schedules!G21+Supporting_Schedules!G22-Supporting_Schedules!G23))&gt;Assumptions_and_Inputs!$B$25,Supporting_Schedules!G24&gt;Assumptions_and_Inputs!$F$20+Assumptions_and_Inputs!$B$25,Financial_Statements!G25&lt;0,AND(Financial_Statements!G25&lt;Assumptions_and_Inputs!$F$19-Assumptions_and_Inputs!$B$25,Supporting_Schedules!G24&lt;Assumptions_and_Inputs!$F$20-Assumptions_and_Inputs!$B$25)),1,0)</f>
        <v/>
      </c>
      <c r="I10" s="8">
        <f>IF(OR(ABS(Supporting_Schedules!H24-(Supporting_Schedules!H21+Supporting_Schedules!H22-Supporting_Schedules!H23))&gt;Assumptions_and_Inputs!$B$25,Supporting_Schedules!H24&gt;Assumptions_and_Inputs!$F$20+Assumptions_and_Inputs!$B$25,Financial_Statements!H25&lt;0,AND(Financial_Statements!H25&lt;Assumptions_and_Inputs!$F$19-Assumptions_and_Inputs!$B$25,Supporting_Schedules!H24&lt;Assumptions_and_Inputs!$F$20-Assumptions_and_Inputs!$B$25)),1,0)</f>
        <v/>
      </c>
      <c r="J10" s="8">
        <f>IF(OR(ABS(Supporting_Schedules!I24-(Supporting_Schedules!I21+Supporting_Schedules!I22-Supporting_Schedules!I23))&gt;Assumptions_and_Inputs!$B$25,Supporting_Schedules!I24&gt;Assumptions_and_Inputs!$F$20+Assumptions_and_Inputs!$B$25,Financial_Statements!I25&lt;0,AND(Financial_Statements!I25&lt;Assumptions_and_Inputs!$F$19-Assumptions_and_Inputs!$B$25,Supporting_Schedules!I24&lt;Assumptions_and_Inputs!$F$20-Assumptions_and_Inputs!$B$25)),1,0)</f>
        <v/>
      </c>
      <c r="K10" s="7">
        <f>SUM(C10:J10)</f>
        <v/>
      </c>
    </row>
    <row r="11">
      <c r="A11" s="7" t="inlineStr">
        <is>
          <t>Core formula integrity</t>
        </is>
      </c>
      <c r="B11" s="7" t="inlineStr">
        <is>
          <t>Key statements are numeric; derived historical CFO ties to source.</t>
        </is>
      </c>
      <c r="C11" s="8">
        <f>IF(OR(ISERROR(Financial_Statements!B6),ISERROR(Financial_Statements!B29),ISERROR(Financial_Statements!B34)),1,0)</f>
        <v/>
      </c>
      <c r="D11" s="8">
        <f>IF(OR(ISERROR(Financial_Statements!C6),ISERROR(Financial_Statements!C29),ISERROR(Financial_Statements!C34),ABS(Financial_Statements!C45-Historical_Data!C30)&gt;Assumptions_and_Inputs!$B$25),1,0)</f>
        <v/>
      </c>
      <c r="E11" s="8">
        <f>IF(OR(ISERROR(Financial_Statements!D6),ISERROR(Financial_Statements!D29),ISERROR(Financial_Statements!D34),ABS(Financial_Statements!D45-Historical_Data!D30)&gt;Assumptions_and_Inputs!$B$25),1,0)</f>
        <v/>
      </c>
      <c r="F11" s="8">
        <f>IF(OR(ISERROR(Financial_Statements!E6),ISERROR(Financial_Statements!E12),ISERROR(Financial_Statements!E20),ISERROR(Financial_Statements!E29),ISERROR(Financial_Statements!E34),ISERROR(Financial_Statements!E55)),1,0)</f>
        <v/>
      </c>
      <c r="G11" s="8">
        <f>IF(OR(ISERROR(Financial_Statements!F6),ISERROR(Financial_Statements!F12),ISERROR(Financial_Statements!F20),ISERROR(Financial_Statements!F29),ISERROR(Financial_Statements!F34),ISERROR(Financial_Statements!F55)),1,0)</f>
        <v/>
      </c>
      <c r="H11" s="8">
        <f>IF(OR(ISERROR(Financial_Statements!G6),ISERROR(Financial_Statements!G12),ISERROR(Financial_Statements!G20),ISERROR(Financial_Statements!G29),ISERROR(Financial_Statements!G34),ISERROR(Financial_Statements!G55)),1,0)</f>
        <v/>
      </c>
      <c r="I11" s="8">
        <f>IF(OR(ISERROR(Financial_Statements!H6),ISERROR(Financial_Statements!H12),ISERROR(Financial_Statements!H20),ISERROR(Financial_Statements!H29),ISERROR(Financial_Statements!H34),ISERROR(Financial_Statements!H55)),1,0)</f>
        <v/>
      </c>
      <c r="J11" s="8">
        <f>IF(OR(ISERROR(Financial_Statements!I6),ISERROR(Financial_Statements!I12),ISERROR(Financial_Statements!I20),ISERROR(Financial_Statements!I29),ISERROR(Financial_Statements!I34),ISERROR(Financial_Statements!I55)),1,0)</f>
        <v/>
      </c>
      <c r="K11" s="7">
        <f>SUM(C11:J11)</f>
        <v/>
      </c>
    </row>
    <row r="12">
      <c r="A12" s="7" t="inlineStr">
        <is>
          <t>Scenario probabilities</t>
        </is>
      </c>
      <c r="B12" s="7" t="inlineStr">
        <is>
          <t>Scenario probability weights sum to 100%.</t>
        </is>
      </c>
      <c r="C12" s="8">
        <f>0</f>
        <v/>
      </c>
      <c r="D12" s="8">
        <f>0</f>
        <v/>
      </c>
      <c r="E12" s="8">
        <f>0</f>
        <v/>
      </c>
      <c r="F12" s="8">
        <f>0</f>
        <v/>
      </c>
      <c r="G12" s="8">
        <f>0</f>
        <v/>
      </c>
      <c r="H12" s="8">
        <f>0</f>
        <v/>
      </c>
      <c r="I12" s="8">
        <f>0</f>
        <v/>
      </c>
      <c r="J12" s="8">
        <f>0</f>
        <v/>
      </c>
      <c r="K12" s="8">
        <f>IF(ABS(SUM(Assumptions_and_Inputs!$B$22:$E$22)-1)&lt;=0.000001,0,1)</f>
        <v/>
      </c>
    </row>
    <row r="13">
      <c r="A13" s="7" t="inlineStr">
        <is>
          <t>Scenario ranges</t>
        </is>
      </c>
      <c r="B13" s="7" t="inlineStr">
        <is>
          <t>Growth, operating cost, and working-capital assumptions are within valid ranges.</t>
        </is>
      </c>
      <c r="C13" s="8">
        <f>0</f>
        <v/>
      </c>
      <c r="D13" s="8">
        <f>0</f>
        <v/>
      </c>
      <c r="E13" s="8">
        <f>0</f>
        <v/>
      </c>
      <c r="F13" s="8">
        <f>0</f>
        <v/>
      </c>
      <c r="G13" s="8">
        <f>0</f>
        <v/>
      </c>
      <c r="H13" s="8">
        <f>0</f>
        <v/>
      </c>
      <c r="I13" s="8">
        <f>0</f>
        <v/>
      </c>
      <c r="J13" s="8">
        <f>0</f>
        <v/>
      </c>
      <c r="K13" s="8">
        <f>IF(OR(MIN(Assumptions_and_Inputs!$B$6:$E$6)&lt;=-1,MIN(Assumptions_and_Inputs!$B$8:$E$8)&lt;0,MAX(Assumptions_and_Inputs!$B$8:$E$8)&gt;1,MIN(Assumptions_and_Inputs!$B$10:$E$12)&lt;0),1,0)</f>
        <v/>
      </c>
    </row>
    <row r="14">
      <c r="A14" s="7" t="inlineStr">
        <is>
          <t>Sensitivity integrity</t>
        </is>
      </c>
      <c r="B14" s="7" t="inlineStr">
        <is>
          <t>Two-way sensitivity grid is numeric and its center reconciles to 2030 EBITDA.</t>
        </is>
      </c>
      <c r="C14" s="8">
        <f>0</f>
        <v/>
      </c>
      <c r="D14" s="8">
        <f>0</f>
        <v/>
      </c>
      <c r="E14" s="8">
        <f>0</f>
        <v/>
      </c>
      <c r="F14" s="8">
        <f>0</f>
        <v/>
      </c>
      <c r="G14" s="8">
        <f>0</f>
        <v/>
      </c>
      <c r="H14" s="8">
        <f>0</f>
        <v/>
      </c>
      <c r="I14" s="8">
        <f>0</f>
        <v/>
      </c>
      <c r="J14" s="8">
        <f>0</f>
        <v/>
      </c>
      <c r="K14" s="8">
        <f>IF(OR(COUNT(Sensitivity_Analysis!$C$7:$G$11)&lt;&gt;25,ABS(Sensitivity_Analysis!$F$13)&gt;Assumptions_and_Inputs!$B$25),1,0)</f>
        <v/>
      </c>
    </row>
    <row r="15">
      <c r="A15" s="7" t="inlineStr">
        <is>
          <t>Scenario output integrity</t>
        </is>
      </c>
      <c r="B15" s="7" t="inlineStr">
        <is>
          <t>All four scenario revenue, EBITDA, cash, and debt outcomes are numeric.</t>
        </is>
      </c>
      <c r="C15" s="8">
        <f>0</f>
        <v/>
      </c>
      <c r="D15" s="8">
        <f>0</f>
        <v/>
      </c>
      <c r="E15" s="8">
        <f>0</f>
        <v/>
      </c>
      <c r="F15" s="8">
        <f>0</f>
        <v/>
      </c>
      <c r="G15" s="8">
        <f>0</f>
        <v/>
      </c>
      <c r="H15" s="8">
        <f>0</f>
        <v/>
      </c>
      <c r="I15" s="8">
        <f>0</f>
        <v/>
      </c>
      <c r="J15" s="8">
        <f>0</f>
        <v/>
      </c>
      <c r="K15" s="8">
        <f>IF(COUNT(Scenario_Analysis!$B$5:$E$9)&lt;&gt;20,1,0)</f>
        <v/>
      </c>
    </row>
    <row r="16">
      <c r="A16" s="7" t="inlineStr">
        <is>
          <t>Scenario balance-sheet integrity</t>
        </is>
      </c>
      <c r="B16" s="7" t="inlineStr">
        <is>
          <t>All scenario-specific balance sheets remain in accounting balance.</t>
        </is>
      </c>
      <c r="C16" s="8">
        <f>0</f>
        <v/>
      </c>
      <c r="D16" s="8">
        <f>0</f>
        <v/>
      </c>
      <c r="E16" s="8">
        <f>0</f>
        <v/>
      </c>
      <c r="F16" s="8">
        <f>0</f>
        <v/>
      </c>
      <c r="G16" s="8">
        <f>0</f>
        <v/>
      </c>
      <c r="H16" s="8">
        <f>0</f>
        <v/>
      </c>
      <c r="I16" s="8">
        <f>0</f>
        <v/>
      </c>
      <c r="J16" s="8">
        <f>0</f>
        <v/>
      </c>
      <c r="K16" s="8">
        <f>IF(OR(ABS(MIN(Scenario_Analysis!$B$41:$F$41))&gt;Assumptions_and_Inputs!$B$25,ABS(MAX(Scenario_Analysis!$B$41:$F$41))&gt;Assumptions_and_Inputs!$B$25,ABS(MIN(Scenario_Analysis!$B$71:$F$71))&gt;Assumptions_and_Inputs!$B$25,ABS(MAX(Scenario_Analysis!$B$71:$F$71))&gt;Assumptions_and_Inputs!$B$25,ABS(MIN(Scenario_Analysis!$B$101:$F$101))&gt;Assumptions_and_Inputs!$B$25,ABS(MAX(Scenario_Analysis!$B$101:$F$101))&gt;Assumptions_and_Inputs!$B$25,ABS(MIN(Scenario_Analysis!$B$131:$F$131))&gt;Assumptions_and_Inputs!$B$25,ABS(MAX(Scenario_Analysis!$B$131:$F$131))&gt;Assumptions_and_Inputs!$B$25),1,0)</f>
        <v/>
      </c>
    </row>
    <row r="17">
      <c r="A17" s="7" t="inlineStr">
        <is>
          <t>Selected-case reconciliation</t>
        </is>
      </c>
      <c r="B17" s="7" t="inlineStr">
        <is>
          <t>Selected scenario outputs tie to the integrated financial statements.</t>
        </is>
      </c>
      <c r="C17" s="8">
        <f>0</f>
        <v/>
      </c>
      <c r="D17" s="8">
        <f>0</f>
        <v/>
      </c>
      <c r="E17" s="8">
        <f>0</f>
        <v/>
      </c>
      <c r="F17" s="8">
        <f>0</f>
        <v/>
      </c>
      <c r="G17" s="8">
        <f>0</f>
        <v/>
      </c>
      <c r="H17" s="8">
        <f>0</f>
        <v/>
      </c>
      <c r="I17" s="8">
        <f>0</f>
        <v/>
      </c>
      <c r="J17" s="8">
        <f>0</f>
        <v/>
      </c>
      <c r="K17" s="8">
        <f>IF(OR(ABS(INDEX(Scenario_Analysis!$B$5:$E$5,1,MATCH(Assumptions_and_Inputs!$B$4,Assumptions_and_Inputs!$B$5:$E$5,0))-Financial_Statements!$I$6)&gt;Assumptions_and_Inputs!$B$25,ABS(INDEX(Scenario_Analysis!$B$6:$E$6,1,MATCH(Assumptions_and_Inputs!$B$4,Assumptions_and_Inputs!$B$5:$E$5,0))-Financial_Statements!$I$12)&gt;Assumptions_and_Inputs!$B$25,ABS(INDEX(Scenario_Analysis!$B$8:$E$8,1,MATCH(Assumptions_and_Inputs!$B$4,Assumptions_and_Inputs!$B$5:$E$5,0))-Financial_Statements!$I$25)&gt;Assumptions_and_Inputs!$B$25,ABS(INDEX(Scenario_Analysis!$B$9:$E$9,1,MATCH(Assumptions_and_Inputs!$B$4,Assumptions_and_Inputs!$B$5:$E$5,0))-Financial_Statements!$I$31)&gt;Assumptions_and_Inputs!$B$25),1,0)</f>
        <v/>
      </c>
    </row>
  </sheetData>
  <mergeCells count="5">
    <mergeCell ref="A3:K3"/>
    <mergeCell ref="A3"/>
    <mergeCell ref="A2"/>
    <mergeCell ref="A1:K1"/>
    <mergeCell ref="A1"/>
  </mergeCells>
  <conditionalFormatting sqref="A2">
    <cfRule type="expression" priority="1" dxfId="0">
      <formula>Model_Checks!$B$2=0</formula>
    </cfRule>
    <cfRule type="expression" priority="2" dxfId="1">
      <formula>Model_Checks!$B$2&gt;0</formula>
    </cfRule>
    <cfRule type="expression" priority="4" dxfId="0">
      <formula>$B$2=0</formula>
    </cfRule>
    <cfRule type="expression" priority="5" dxfId="1">
      <formula>$B$2&gt;0</formula>
    </cfRule>
  </conditionalFormatting>
  <conditionalFormatting sqref="K6:K17">
    <cfRule type="colorScale" priority="3">
      <colorScale>
        <cfvo type="min"/>
        <cfvo type="max"/>
        <color rgb="00E2EFDA"/>
        <color rgb="00FCE4D6"/>
      </colorScale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E38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B5" sqref="B5"/>
      <selection pane="bottomLeft"/>
      <selection pane="bottomRigh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7" customHeight="1">
      <c r="A1" s="1" t="inlineStr">
        <is>
          <t>Historical_Data | Reported source data and explicit source mappings</t>
        </is>
      </c>
    </row>
    <row r="2">
      <c r="A2" s="2">
        <f>IF(Model_Checks!$B$2=0,"ALL CHECKS PASSED","MODEL CHECKS FAILED")</f>
        <v/>
      </c>
    </row>
    <row r="3">
      <c r="A3" s="3" t="inlineStr">
        <is>
          <t>Amok Equipment AS | NOK unless stated | Generated 2026-10-10 | Version 1.0</t>
        </is>
      </c>
    </row>
    <row r="4">
      <c r="A4" s="14" t="inlineStr">
        <is>
          <t>Source annual accounts (NOK)</t>
        </is>
      </c>
      <c r="B4" s="14" t="n">
        <v>2023</v>
      </c>
      <c r="C4" s="14" t="n">
        <v>2024</v>
      </c>
      <c r="D4" s="14" t="n">
        <v>2025</v>
      </c>
    </row>
    <row r="5">
      <c r="A5" t="inlineStr">
        <is>
          <t>Revenue</t>
        </is>
      </c>
      <c r="B5" s="28" t="n">
        <v>18015123</v>
      </c>
      <c r="C5" s="28" t="n">
        <v>20366506</v>
      </c>
      <c r="D5" s="28" t="n">
        <v>16231415</v>
      </c>
    </row>
    <row r="6">
      <c r="A6" s="7" t="inlineStr">
        <is>
          <t>Reported total operating expenses</t>
        </is>
      </c>
      <c r="B6" s="18" t="n">
        <v>15617768</v>
      </c>
      <c r="C6" s="18" t="n">
        <v>19614314</v>
      </c>
      <c r="D6" s="18" t="n">
        <v>17310195</v>
      </c>
    </row>
    <row r="7">
      <c r="A7" s="7" t="inlineStr">
        <is>
          <t>Personnel expenses</t>
        </is>
      </c>
      <c r="B7" s="18" t="n">
        <v>4280871</v>
      </c>
      <c r="C7" s="18" t="n">
        <v>5120437</v>
      </c>
      <c r="D7" s="18" t="n">
        <v>4393760</v>
      </c>
    </row>
    <row r="8">
      <c r="A8" s="7" t="inlineStr">
        <is>
          <t>Reported operating profit (EBIT)</t>
        </is>
      </c>
      <c r="B8" s="18" t="n">
        <v>2397355</v>
      </c>
      <c r="C8" s="18" t="n">
        <v>752192</v>
      </c>
      <c r="D8" s="18" t="n">
        <v>-1078780</v>
      </c>
    </row>
    <row r="9">
      <c r="A9" s="7" t="inlineStr">
        <is>
          <t>Net financial income / (expense)</t>
        </is>
      </c>
      <c r="B9" s="18" t="n">
        <v>1363480</v>
      </c>
      <c r="C9" s="18" t="n">
        <v>58522</v>
      </c>
      <c r="D9" s="18" t="n">
        <v>204270</v>
      </c>
    </row>
    <row r="10">
      <c r="A10" s="7" t="inlineStr">
        <is>
          <t>Reported income tax expense / (benefit)</t>
        </is>
      </c>
      <c r="B10" s="18" t="n">
        <v>574566</v>
      </c>
      <c r="C10" s="18" t="n">
        <v>185081</v>
      </c>
      <c r="D10" s="18" t="n">
        <v>-174711</v>
      </c>
    </row>
    <row r="11">
      <c r="A11" s="7" t="inlineStr">
        <is>
          <t>Reported net income</t>
        </is>
      </c>
      <c r="B11" s="18" t="n">
        <v>3186270</v>
      </c>
      <c r="C11" s="18" t="n">
        <v>625633</v>
      </c>
      <c r="D11" s="18" t="n">
        <v>-699798</v>
      </c>
    </row>
    <row r="12">
      <c r="A12" s="7" t="inlineStr">
        <is>
          <t>Net fixed assets</t>
        </is>
      </c>
      <c r="B12" s="18" t="n">
        <v>87189</v>
      </c>
      <c r="C12" s="18" t="n">
        <v>227959</v>
      </c>
      <c r="D12" s="18" t="n">
        <v>469295</v>
      </c>
    </row>
    <row r="13">
      <c r="A13" s="7" t="inlineStr">
        <is>
          <t>Total current assets</t>
        </is>
      </c>
      <c r="B13" s="18" t="n">
        <v>25410571</v>
      </c>
      <c r="C13" s="18" t="n">
        <v>22865984</v>
      </c>
      <c r="D13" s="18" t="n">
        <v>20371955</v>
      </c>
    </row>
    <row r="14">
      <c r="A14" s="7" t="inlineStr">
        <is>
          <t>Inventory (reported; 2025 not separately disclosed)</t>
        </is>
      </c>
      <c r="B14" s="18" t="n">
        <v>10110389</v>
      </c>
      <c r="C14" s="18" t="n">
        <v>12314240</v>
      </c>
    </row>
    <row r="15">
      <c r="A15" s="7" t="inlineStr">
        <is>
          <t>Accounts receivable</t>
        </is>
      </c>
      <c r="B15" s="18" t="n">
        <v>6278761</v>
      </c>
      <c r="C15" s="18" t="n">
        <v>2032768</v>
      </c>
      <c r="D15" s="18" t="n">
        <v>1909557</v>
      </c>
    </row>
    <row r="16">
      <c r="A16" s="7" t="inlineStr">
        <is>
          <t>Cash and cash equivalents</t>
        </is>
      </c>
      <c r="B16" s="18" t="n">
        <v>9021420</v>
      </c>
      <c r="C16" s="18" t="n">
        <v>8518975</v>
      </c>
      <c r="D16" s="18" t="n">
        <v>6914012</v>
      </c>
    </row>
    <row r="17">
      <c r="A17" s="7" t="inlineStr">
        <is>
          <t>Reported total assets</t>
        </is>
      </c>
      <c r="B17" s="18" t="n">
        <v>25497760</v>
      </c>
      <c r="C17" s="18" t="n">
        <v>23093943</v>
      </c>
      <c r="D17" s="18" t="n">
        <v>20841249</v>
      </c>
    </row>
    <row r="18">
      <c r="A18" s="7" t="inlineStr">
        <is>
          <t>Short-term liabilities</t>
        </is>
      </c>
      <c r="B18" s="18" t="n">
        <v>4930776</v>
      </c>
      <c r="C18" s="18" t="n">
        <v>3910158</v>
      </c>
      <c r="D18" s="18" t="n">
        <v>2357263</v>
      </c>
    </row>
    <row r="19">
      <c r="A19" s="7" t="inlineStr">
        <is>
          <t>Long-term liabilities</t>
        </is>
      </c>
      <c r="B19" s="18" t="n">
        <v>3433</v>
      </c>
      <c r="C19" s="18" t="n">
        <v>0</v>
      </c>
    </row>
    <row r="20">
      <c r="A20" s="7" t="inlineStr">
        <is>
          <t>Reported total liabilities</t>
        </is>
      </c>
      <c r="B20" s="18" t="n">
        <v>4934209</v>
      </c>
      <c r="C20" s="18" t="n">
        <v>3910158</v>
      </c>
      <c r="D20" s="18" t="n">
        <v>2357263</v>
      </c>
    </row>
    <row r="21">
      <c r="A21" s="7" t="inlineStr">
        <is>
          <t>Reported shareholders' equity</t>
        </is>
      </c>
      <c r="B21" s="18" t="n">
        <v>20563551</v>
      </c>
      <c r="C21" s="18" t="n">
        <v>19183784</v>
      </c>
      <c r="D21" s="18" t="n">
        <v>18483986</v>
      </c>
    </row>
    <row r="22"/>
    <row r="23">
      <c r="A23" s="5" t="inlineStr">
        <is>
          <t>Cash flow source data (NOK; reported cash-flow reconciliation inputs)</t>
        </is>
      </c>
    </row>
    <row r="24">
      <c r="A24" s="14" t="n"/>
      <c r="B24" s="6" t="n">
        <v>2023</v>
      </c>
      <c r="C24" s="6" t="n">
        <v>2024</v>
      </c>
      <c r="D24" s="6" t="n">
        <v>2025</v>
      </c>
    </row>
    <row r="25">
      <c r="A25" s="7" t="inlineStr">
        <is>
          <t>Net income (cash flow source)</t>
        </is>
      </c>
      <c r="C25" s="18" t="n">
        <v>625633</v>
      </c>
      <c r="D25" s="18" t="n">
        <v>-699798</v>
      </c>
    </row>
    <row r="26">
      <c r="A26" s="7" t="inlineStr">
        <is>
          <t>Depreciation and amortization</t>
        </is>
      </c>
      <c r="B26" s="18" t="n">
        <v>0</v>
      </c>
      <c r="C26" s="18" t="n">
        <v>0</v>
      </c>
      <c r="D26" s="18" t="n">
        <v>0</v>
      </c>
    </row>
    <row r="27">
      <c r="A27" s="7" t="inlineStr">
        <is>
          <t>Accounts receivable cash-flow impact</t>
        </is>
      </c>
      <c r="C27" s="18" t="n">
        <v>4245993</v>
      </c>
      <c r="D27" s="18" t="n">
        <v>123211</v>
      </c>
    </row>
    <row r="28">
      <c r="A28" s="7" t="inlineStr">
        <is>
          <t>Inventory cash-flow impact</t>
        </is>
      </c>
      <c r="C28" s="18" t="n">
        <v>-2203851</v>
      </c>
      <c r="D28" s="18" t="n">
        <v>765854</v>
      </c>
    </row>
    <row r="29">
      <c r="A29" s="7" t="inlineStr">
        <is>
          <t>Accounts payable cash-flow impact</t>
        </is>
      </c>
      <c r="C29" s="18" t="n">
        <v>-1020618</v>
      </c>
      <c r="D29" s="18" t="n">
        <v>-1552895</v>
      </c>
    </row>
    <row r="30">
      <c r="A30" s="7" t="inlineStr">
        <is>
          <t>Reported estimated cash from operations</t>
        </is>
      </c>
      <c r="C30" s="18" t="n">
        <v>1647157</v>
      </c>
      <c r="D30" s="18" t="n">
        <v>-1363628</v>
      </c>
    </row>
    <row r="31">
      <c r="A31" s="7" t="inlineStr">
        <is>
          <t>Opening cash</t>
        </is>
      </c>
      <c r="C31" s="18" t="n">
        <v>9021420</v>
      </c>
      <c r="D31" s="18" t="n">
        <v>8518975</v>
      </c>
    </row>
    <row r="32">
      <c r="A32" s="7" t="inlineStr">
        <is>
          <t>Closing cash</t>
        </is>
      </c>
      <c r="C32" s="18" t="n">
        <v>8518975</v>
      </c>
      <c r="D32" s="18" t="n">
        <v>6914012</v>
      </c>
    </row>
    <row r="33">
      <c r="A33" s="7" t="inlineStr">
        <is>
          <t>Unallocated other cash flows (source)</t>
        </is>
      </c>
      <c r="C33" s="18" t="n">
        <v>-2149602</v>
      </c>
      <c r="D33" s="18" t="n">
        <v>-241335</v>
      </c>
    </row>
    <row r="34"/>
    <row r="35">
      <c r="A35" s="5" t="inlineStr">
        <is>
          <t>Source notes</t>
        </is>
      </c>
    </row>
    <row r="36" ht="32" customHeight="1">
      <c r="A36" s="12" t="inlineStr">
        <is>
          <t>2025 inventory was not separately reported; the model treats current assets excluding cash and receivables as inventory / other operating current assets.</t>
        </is>
      </c>
    </row>
    <row r="37" ht="32" customHeight="1">
      <c r="A37" s="12" t="inlineStr">
        <is>
          <t>2024 reported balance sheet totals differ by NOK 1 due to source rounding. Historical cash flows include unallocated cash movements because investing/financing detail was not supplied.</t>
        </is>
      </c>
    </row>
    <row r="38" ht="32" customHeight="1">
      <c r="A38" s="12" t="inlineStr">
        <is>
          <t>Annual statements are historical reported figures. Financial_Statements derives non-personnel operating expenses as reported total operating expenses less reported personnel expenses.</t>
        </is>
      </c>
    </row>
  </sheetData>
  <mergeCells count="6">
    <mergeCell ref="A38:E38"/>
    <mergeCell ref="A2:E2"/>
    <mergeCell ref="A1:E1"/>
    <mergeCell ref="A37:E37"/>
    <mergeCell ref="A36:E36"/>
    <mergeCell ref="A3:E3"/>
  </mergeCells>
  <conditionalFormatting sqref="A2:E2">
    <cfRule type="expression" priority="1" dxfId="0">
      <formula>Model_Checks!$B$2=0</formula>
    </cfRule>
    <cfRule type="expression" priority="2" dxfId="1">
      <formula>Model_Checks!$B$2&gt;0</formula>
    </cfRule>
  </conditionalFormatting>
  <printOptions horizontalCentered="1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2026-10-10T12:47:08Z</dcterms:created>
  <dcterms:modified xmlns:dcterms="http://purl.org/dc/terms/" xmlns:xsi="http://www.w3.org/2001/XMLSchema-instance" xsi:type="dcterms:W3CDTF">2026-10-10T12:47:08Z</dcterms:modified>
</cp:coreProperties>
</file>